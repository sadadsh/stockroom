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BOM" sheetId="1" r:id="rId1"/>
  </sheets>
  <calcPr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sz val="11"/>
      <name val="Calibri"/>
    </font>
    <font>
      <b/>
      <sz val="11"/>
      <name val="Calibri"/>
    </font>
    <font>
      <u/>
      <sz val="11"/>
      <color rgb="FF0563C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64" fontId="1" fillId="0" borderId="0" xfId="0" applyNumberFormat="1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s://www.mouser.com/datasheet/3/40/1/cr.pdf" TargetMode="External"/><Relationship Id="rId2" Type="http://schemas.openxmlformats.org/officeDocument/2006/relationships/hyperlink" Target="https://www.mouser.com/en/ProductDetail/Bourns/CR0603-FX-1181ELF?qs=e7cxVwPieur3A68XPb9FHg%3D%3D" TargetMode="External"/><Relationship Id="rId3" Type="http://schemas.openxmlformats.org/officeDocument/2006/relationships/hyperlink" Target="https://www.we-online.com/components/products/datasheet/560112116009.pdf" TargetMode="External"/><Relationship Id="rId4" Type="http://schemas.openxmlformats.org/officeDocument/2006/relationships/hyperlink" Target="https://www.mouser.com/en/ProductDetail/Wurth-Elektronik/560112116009?qs=mELouGlnn3daC%252BuPHZwWig%3D%3D" TargetMode="External"/><Relationship Id="rId5" Type="http://schemas.openxmlformats.org/officeDocument/2006/relationships/hyperlink" Target="https://weblib.samsungsem.com/mlcc/mlcc-ec-data-sheet.do?partNumber=CL05B104KO5NNN" TargetMode="External"/><Relationship Id="rId6" Type="http://schemas.openxmlformats.org/officeDocument/2006/relationships/hyperlink" Target="https://www.mouser.com/en/ProductDetail/Samsung-Electro-Mechanics/CL05B104KO5NNNC?qs=hqM3L16%252BxlfT2SKOuAUq6Q%3D%3D" TargetMode="External"/><Relationship Id="rId7" Type="http://schemas.openxmlformats.org/officeDocument/2006/relationships/hyperlink" Target="https://www.vishay.com/docs/20035/dcrcwe3.pdf" TargetMode="External"/><Relationship Id="rId8" Type="http://schemas.openxmlformats.org/officeDocument/2006/relationships/hyperlink" Target="https://www.mouser.com/en/ProductDetail/Vishay/CRCW04023R32FKED?qs=%2FGvPWUwWV9YPS%252BJP%2FiUvGA%3D%3D" TargetMode="External"/><Relationship Id="rId9" Type="http://schemas.openxmlformats.org/officeDocument/2006/relationships/hyperlink" Target="http://www.ti.com/lit/sg/scyt129e/scyt129e.pdf" TargetMode="External"/><Relationship Id="rId10" Type="http://schemas.openxmlformats.org/officeDocument/2006/relationships/hyperlink" Target="https://www.mouser.com/en/ProductDetail/Diodes-Incorporated/74AHC1G32QSE-7?qs=bAKSY%2FctAC6EE%252BFwJC1d6Q%3D%3D" TargetMode="External"/><Relationship Id="rId11" Type="http://schemas.openxmlformats.org/officeDocument/2006/relationships/hyperlink" Target="https://www.ti.com/lit/gpn/sn74lvc1g74" TargetMode="External"/><Relationship Id="rId12" Type="http://schemas.openxmlformats.org/officeDocument/2006/relationships/hyperlink" Target="https://www.mouser.com/en/ProductDetail/Texas-Instruments/SN74LVC1G74DCUR?qs=DS7Z8uEdLNyRBKrHxqRXjA%3D%3D" TargetMode="External"/><Relationship Id="rId13" Type="http://schemas.openxmlformats.org/officeDocument/2006/relationships/hyperlink" Target="https://www.mouser.com/datasheet/3/40/1/cr.pdf" TargetMode="External"/><Relationship Id="rId14" Type="http://schemas.openxmlformats.org/officeDocument/2006/relationships/hyperlink" Target="https://www.mouser.com/en/ProductDetail/Bourns/CR0603-FX-5101ELF?qs=0nF2VnfAjXkzZl7D0jRjmQ%3D%3D" TargetMode="External"/><Relationship Id="rId15" Type="http://schemas.openxmlformats.org/officeDocument/2006/relationships/hyperlink" Target="http://www.ti.com/lit/ds/symlink/tps22917.pdf" TargetMode="External"/><Relationship Id="rId16" Type="http://schemas.openxmlformats.org/officeDocument/2006/relationships/hyperlink" Target="https://www.mouser.com/en/ProductDetail/Texas-Instruments/TPS22917LDBVR?qs=doiCPypUmgGbWD5ZXr9T%2FQ%3D%3D" TargetMode="External"/><Relationship Id="rId17" Type="http://schemas.openxmlformats.org/officeDocument/2006/relationships/hyperlink" Target="https://www.onsemi.com/pub/Collateral/NDS7002A-D.PDF" TargetMode="External"/><Relationship Id="rId18" Type="http://schemas.openxmlformats.org/officeDocument/2006/relationships/hyperlink" Target="https://www.mouser.com/en/ProductDetail/onsemi/2N7002?qs=0dwsXDNhqlz66WJJhrTFjQ%3D%3D" TargetMode="External"/><Relationship Id="rId19" Type="http://schemas.openxmlformats.org/officeDocument/2006/relationships/hyperlink" Target="https://www.mouser.com/datasheet/3/508/1/upy-gphc_x5r_4v-to-50v.pdf" TargetMode="External"/><Relationship Id="rId20" Type="http://schemas.openxmlformats.org/officeDocument/2006/relationships/hyperlink" Target="https://www.mouser.com/en/ProductDetail/YAGEO/CC1206MKX5R9BB106?qs=W0yvOO0ixfEGA7Mg821gyg%3D%3D" TargetMode="External"/><Relationship Id="rId21" Type="http://schemas.openxmlformats.org/officeDocument/2006/relationships/hyperlink" Target="https://www.ti.com/lit/gpn/bq24075" TargetMode="External"/><Relationship Id="rId22" Type="http://schemas.openxmlformats.org/officeDocument/2006/relationships/hyperlink" Target="https://www.mouser.com/en/ProductDetail/Texas-Instruments/BQ24074RGTT?qs=ZV%2Fxhq4oszp0gb4MsbpFYw%3D%3D" TargetMode="External"/><Relationship Id="rId23" Type="http://schemas.openxmlformats.org/officeDocument/2006/relationships/hyperlink" Target="https://weblib.samsungsem.com/mlcc/mlcc-ec-data-sheet.do?partNumber=CL05C750JB5NNN" TargetMode="External"/><Relationship Id="rId24" Type="http://schemas.openxmlformats.org/officeDocument/2006/relationships/hyperlink" Target="https://www.mouser.com/en/ProductDetail/Murata-Electronics/GCM1555C1HR75CA16J?qs=QzBtWTOodeXZZhEWV%2FO7LA%3D%3D" TargetMode="External"/><Relationship Id="rId25" Type="http://schemas.openxmlformats.org/officeDocument/2006/relationships/hyperlink" Target="https://www.we-online.com/components/products/datasheet/560112116004.pdf" TargetMode="External"/><Relationship Id="rId26" Type="http://schemas.openxmlformats.org/officeDocument/2006/relationships/hyperlink" Target="https://www.mouser.com/en/ProductDetail/Wurth-Elektronik/560112116004?qs=mELouGlnn3cgLFewMW9j7A%3D%3D" TargetMode="External"/><Relationship Id="rId27" Type="http://schemas.openxmlformats.org/officeDocument/2006/relationships/hyperlink" Target="https://weblib.samsungsem.com/mlcc/mlcc-ec-data-sheet.do?partNumber=CL10A225KO8NNN" TargetMode="External"/><Relationship Id="rId28" Type="http://schemas.openxmlformats.org/officeDocument/2006/relationships/hyperlink" Target="https://www.mouser.com/en/ProductDetail/Samsung-Electro-Mechanics/CL10A225KO8NNNC?qs=hqM3L16%252BxlecoJxUp5hKOw%3D%3D" TargetMode="External"/><Relationship Id="rId29" Type="http://schemas.openxmlformats.org/officeDocument/2006/relationships/hyperlink" Target="https://www.mouser.com/datasheet/3/40/1/cr.pdf" TargetMode="External"/><Relationship Id="rId30" Type="http://schemas.openxmlformats.org/officeDocument/2006/relationships/hyperlink" Target="https://www.mouser.com/en/ProductDetail/Bourns/CR0603-FX-4700ELF?qs=CCIlxZRRv7gUHJx8Zn6ZzQ%3D%3D" TargetMode="External"/><Relationship Id="rId31" Type="http://schemas.openxmlformats.org/officeDocument/2006/relationships/hyperlink" Target="https://toshiba.semicon-storage.com/info/docget.jsp?did=15392&amp;prodName=74LCX138FT" TargetMode="External"/><Relationship Id="rId32" Type="http://schemas.openxmlformats.org/officeDocument/2006/relationships/hyperlink" Target="https://www.mouser.com/en/ProductDetail/Texas-Instruments/SN74LVC138AQPWREP?qs=7reVrgTiN3aXLinzUDCIoQ%3D%3D" TargetMode="External"/><Relationship Id="rId33" Type="http://schemas.openxmlformats.org/officeDocument/2006/relationships/hyperlink" Target="https://www.we-online.com/components/products/datasheet/61300811121.pdf" TargetMode="External"/><Relationship Id="rId34" Type="http://schemas.openxmlformats.org/officeDocument/2006/relationships/hyperlink" Target="https://www.mouser.com/en/ProductDetail/Wurth-Elektronik/61300811121?qs=PhR8RmCirEZRdx%252BVlEmRRA%3D%3D" TargetMode="External"/><Relationship Id="rId35" Type="http://schemas.openxmlformats.org/officeDocument/2006/relationships/hyperlink" Target="https://weblib.samsungsem.com/mlcc/mlcc-ec-data-sheet.do?partNumber=CL05B102KB5NNN" TargetMode="External"/><Relationship Id="rId36" Type="http://schemas.openxmlformats.org/officeDocument/2006/relationships/hyperlink" Target="https://www.mouser.com/en/ProductDetail/Samsung-Electro-Mechanics/CL05B102KB5NNNC?qs=349EhDEZ59ruHuges06d1Q%3D%3D" TargetMode="External"/><Relationship Id="rId37" Type="http://schemas.openxmlformats.org/officeDocument/2006/relationships/hyperlink" Target="https://industrial.panasonic.com/cdbs/www-data/pdf/RDO0000/AOA0000C331.pdf" TargetMode="External"/><Relationship Id="rId38" Type="http://schemas.openxmlformats.org/officeDocument/2006/relationships/hyperlink" Target="https://www.mouser.com/en/ProductDetail/Panasonic/ERJ-P03F1101V?qs=sGAEpiMZZMtG0KNrPCHnjYpPrk%252BOMd4bdFNd%2Ftqgjvc%3D" TargetMode="External"/><Relationship Id="rId39" Type="http://schemas.openxmlformats.org/officeDocument/2006/relationships/hyperlink" Target="https://www.vishay.com/docs/20035/dcrcwe3.pdf" TargetMode="External"/><Relationship Id="rId40" Type="http://schemas.openxmlformats.org/officeDocument/2006/relationships/hyperlink" Target="https://www.mouser.com/en/ProductDetail/Vishay/CRCW0603249KFKEC?qs=fV9RsfLZb3Nd4oImm8Ob9w%3D%3D" TargetMode="External"/><Relationship Id="rId41" Type="http://schemas.openxmlformats.org/officeDocument/2006/relationships/hyperlink" Target="https://www.we-online.com/components/products/datasheet/74438357010.pdf" TargetMode="External"/><Relationship Id="rId42" Type="http://schemas.openxmlformats.org/officeDocument/2006/relationships/hyperlink" Target="https://www.mouser.com/en/ProductDetail/Wurth-Elektronik/74438357010?qs=AQlKX63v8RstGPuQmrueWg%3D%3D" TargetMode="External"/><Relationship Id="rId43" Type="http://schemas.openxmlformats.org/officeDocument/2006/relationships/hyperlink" Target="https://www.mouser.com/datasheet/3/317/1/ASC_MR.pdf" TargetMode="External"/><Relationship Id="rId44" Type="http://schemas.openxmlformats.org/officeDocument/2006/relationships/hyperlink" Target="https://www.mouser.com/en/ProductDetail/Walsin/MR06X4703FTL?qs=GedFDFLaBXHpTipOCmV8gQ%3D%3D" TargetMode="External"/><Relationship Id="rId45" Type="http://schemas.openxmlformats.org/officeDocument/2006/relationships/hyperlink" Target="https://www.yageogroup.com/content/datasheet/asset/file/UPY-GPHC_X5R_4V-TO-50V" TargetMode="External"/><Relationship Id="rId46" Type="http://schemas.openxmlformats.org/officeDocument/2006/relationships/hyperlink" Target="https://www.mouser.com/en/ProductDetail/YAGEO/CC0805MKX5R7BB106?qs=sGAEpiMZZMsh%252B1woXyUXjzfuHVctiE89c1qCe%2FicWOU%3D" TargetMode="External"/><Relationship Id="rId47" Type="http://schemas.openxmlformats.org/officeDocument/2006/relationships/hyperlink" Target="https://www.ti.com/lit/gpn/tps22918-q1" TargetMode="External"/><Relationship Id="rId48" Type="http://schemas.openxmlformats.org/officeDocument/2006/relationships/hyperlink" Target="https://www.mouser.com/en/ProductDetail/Texas-Instruments/TPS22918TDBVRQ1?qs=sGAEpiMZZMv0DJfhVcWlK1Yz3z1OExkkjE2ZiqKPcyuhsbfKfPdS3Q%3D%3D" TargetMode="External"/><Relationship Id="rId49" Type="http://schemas.openxmlformats.org/officeDocument/2006/relationships/hyperlink" Target="https://www.mouser.com/catalog/specsheets/Global_Connector_Technology_usb4105.pdf" TargetMode="External"/><Relationship Id="rId50" Type="http://schemas.openxmlformats.org/officeDocument/2006/relationships/hyperlink" Target="https://www.mouser.com/en/ProductDetail/GCT/USB4105-GF-A?qs=KUoIvG%2F9IlY%2FMLlBMpStpA%3D%3D" TargetMode="External"/><Relationship Id="rId51" Type="http://schemas.openxmlformats.org/officeDocument/2006/relationships/hyperlink" Target="https://weblib.samsungsem.com/mlcc/mlcc-ec-data-sheet.do?partNumber=CL31A226KAHNNN" TargetMode="External"/><Relationship Id="rId52" Type="http://schemas.openxmlformats.org/officeDocument/2006/relationships/hyperlink" Target="https://www.mouser.com/en/ProductDetail/Samsung-Electro-Mechanics/CL31A226MAHNNNE?qs=xZ%2FP%252Ba9zWqY8YGNZEyQ08w%3D%3D" TargetMode="External"/><Relationship Id="rId53" Type="http://schemas.openxmlformats.org/officeDocument/2006/relationships/hyperlink" Target="https://industrial.panasonic.com/cdbs/www-data/pdf/RDP0000/AOA0000C334.pdf" TargetMode="External"/><Relationship Id="rId54" Type="http://schemas.openxmlformats.org/officeDocument/2006/relationships/hyperlink" Target="https://www.mouser.com/en/ProductDetail/Panasonic/ERJ-S03F1002V?qs=Zyl8A9hlmJoZiGA1sKtMzw%3D%3D" TargetMode="External"/><Relationship Id="rId55" Type="http://schemas.openxmlformats.org/officeDocument/2006/relationships/hyperlink" Target="https://www.we-online.com/components/products/datasheet/74439346068.pdf" TargetMode="External"/><Relationship Id="rId56" Type="http://schemas.openxmlformats.org/officeDocument/2006/relationships/hyperlink" Target="https://www.mouser.com/en/ProductDetail/Wurth-Elektronik/74439346068?qs=NSAOzM2zc%2FVj5BeHYKNgfQ%3D%3D" TargetMode="External"/><Relationship Id="rId57" Type="http://schemas.openxmlformats.org/officeDocument/2006/relationships/hyperlink" Target="https://www.mouser.com/datasheet/3/317/1/ASC_MR.pdf" TargetMode="External"/><Relationship Id="rId58" Type="http://schemas.openxmlformats.org/officeDocument/2006/relationships/hyperlink" Target="https://www.mouser.com/en/ProductDetail/Walsin/MR06X47R0FTL?qs=GedFDFLaBXGoJo8MM4e47Q%3D%3D" TargetMode="External"/><Relationship Id="rId59" Type="http://schemas.openxmlformats.org/officeDocument/2006/relationships/hyperlink" Target="http://www.ti.com/general/docs/suppproductinfo.tsp?distId=10&amp;gotoUrl=http%3A%2F%2Fwww.ti.com%2Flit%2Fgpn%2Ftps61023" TargetMode="External"/><Relationship Id="rId60" Type="http://schemas.openxmlformats.org/officeDocument/2006/relationships/hyperlink" Target="https://www.mouser.com/en/ProductDetail/Texas-Instruments/TPS61023DRLT?qs=BJlw7L4Cy78Zr3IJIU3gNw%3D%3D" TargetMode="External"/><Relationship Id="rId61" Type="http://schemas.openxmlformats.org/officeDocument/2006/relationships/hyperlink" Target="https://www.mouser.com/catalog/specsheets/Yamaichi%20Electronics_08162018_IC51-0644-807_H.pdf" TargetMode="External"/><Relationship Id="rId62" Type="http://schemas.openxmlformats.org/officeDocument/2006/relationships/hyperlink" Target="https://www.mouser.com/en/ProductDetail/Yamaichi-Electronics/IC51-0644-807?qs=nO3wRANIIvmhhPuENfC7rw%3D%3D" TargetMode="External"/><Relationship Id="rId63" Type="http://schemas.openxmlformats.org/officeDocument/2006/relationships/hyperlink" Target="https://assets.nexperia.com/documents/data-sheet/PTVS5V0Z1USK.pdf" TargetMode="External"/><Relationship Id="rId64" Type="http://schemas.openxmlformats.org/officeDocument/2006/relationships/hyperlink" Target="https://www.mouser.com/en/ProductDetail/onsemi/ESD9X5.0ST5G?qs=OSf9jACorvbLo4%2Fn72DVLA%3D%3D" TargetMode="External"/><Relationship Id="rId65" Type="http://schemas.openxmlformats.org/officeDocument/2006/relationships/hyperlink" Target="https://www.mouser.com/en/ProductDetail/E-Switch/EG1218?qs=xDsBkp9LkocT0c8K%252B5e%2FgA%3D%3D" TargetMode="External"/><Relationship Id="rId66" Type="http://schemas.openxmlformats.org/officeDocument/2006/relationships/hyperlink" Target="https://cdn-shop.adafruit.com/datasheets/ST7735R_V0.2.pdf" TargetMode="External"/><Relationship Id="rId67" Type="http://schemas.openxmlformats.org/officeDocument/2006/relationships/hyperlink" Target="https://www.digikey.com/en/products/detail/adafruit-industries-llc/358/5801368" TargetMode="External"/><Relationship Id="rId68" Type="http://schemas.openxmlformats.org/officeDocument/2006/relationships/hyperlink" Target="https://www.mouser.com/datasheet/3/85/1/qsh.pdf" TargetMode="External"/><Relationship Id="rId69" Type="http://schemas.openxmlformats.org/officeDocument/2006/relationships/hyperlink" Target="https://www.mouser.com/en/ProductDetail/Samtec/QSH-060-01-H-D-A?qs=rU5fayqh%252BE34oibMPSfe5w%3D%3D" TargetMode="External"/><Relationship Id="rId70" Type="http://schemas.openxmlformats.org/officeDocument/2006/relationships/hyperlink" Target="https://www.vishay.com/docs/20035/dcrcwe3.pdf" TargetMode="External"/><Relationship Id="rId71" Type="http://schemas.openxmlformats.org/officeDocument/2006/relationships/hyperlink" Target="https://www.mouser.com/en/ProductDetail/Vishay/CRCW04024K12FKED?qs=hAuyw6LW%252BLh45zlhMS0oKQ%3D%3D" TargetMode="External"/><Relationship Id="rId72" Type="http://schemas.openxmlformats.org/officeDocument/2006/relationships/hyperlink" Target="http://www.ti.com/lit/ds/symlink/ts5a3166.pdf" TargetMode="External"/><Relationship Id="rId73" Type="http://schemas.openxmlformats.org/officeDocument/2006/relationships/hyperlink" Target="https://www.mouser.com/en/ProductDetail/Texas-Instruments/TS5A3166DBVR?qs=0O%2FZFlpUpJWfi7hoK1hGig%3D%3D" TargetMode="External"/><Relationship Id="rId74" Type="http://schemas.openxmlformats.org/officeDocument/2006/relationships/hyperlink" Target="https://www.we-online.com/components/products/datasheet/560112116040.pdf" TargetMode="External"/><Relationship Id="rId75" Type="http://schemas.openxmlformats.org/officeDocument/2006/relationships/hyperlink" Target="https://www.mouser.com/en/ProductDetail/Wurth-Elektronik/560112116040?qs=mELouGlnn3eCk9Q8a0lJSQ%3D%3D" TargetMode="External"/><Relationship Id="rId76" Type="http://schemas.openxmlformats.org/officeDocument/2006/relationships/hyperlink" Target="https://www.mouser.com/datasheet/3/508/1/upy-gphc_x5r_4v-to-50v.pdf" TargetMode="External"/><Relationship Id="rId77" Type="http://schemas.openxmlformats.org/officeDocument/2006/relationships/hyperlink" Target="https://www.mouser.com/en/ProductDetail/YAGEO/CC0603KRX5R9BB105?qs=zEY9bCHj09dqHVk4sHIcjA%3D%3D" TargetMode="External"/><Relationship Id="rId78" Type="http://schemas.openxmlformats.org/officeDocument/2006/relationships/hyperlink" Target="https://www.we-online.com/components/products/datasheet/61300411121.pdf" TargetMode="External"/><Relationship Id="rId79" Type="http://schemas.openxmlformats.org/officeDocument/2006/relationships/hyperlink" Target="https://www.mouser.com/en/ProductDetail/Wurth-Elektronik/61300411121?qs=PhR8RmCirEYQcLLqXD8rAA%3D%3D" TargetMode="External"/><Relationship Id="rId80" Type="http://schemas.openxmlformats.org/officeDocument/2006/relationships/hyperlink" Target="https://www.mouser.com/datasheet/3/40/1/cr.pdf" TargetMode="External"/><Relationship Id="rId81" Type="http://schemas.openxmlformats.org/officeDocument/2006/relationships/hyperlink" Target="https://www.mouser.com/en/ProductDetail/Bourns/CR0603-FX-6652ELF?qs=0nF2VnfAjXlJmCU3wHzsbQ%3D%3D" TargetMode="External"/><Relationship Id="rId82" Type="http://schemas.openxmlformats.org/officeDocument/2006/relationships/hyperlink" Target="https://industrial.panasonic.com/cdbs/www-data/pdf/RDO0000/RDO0000C334.pdf" TargetMode="External"/><Relationship Id="rId83" Type="http://schemas.openxmlformats.org/officeDocument/2006/relationships/hyperlink" Target="https://www.mouser.com/en/ProductDetail/Panasonic/ERJ-H3EF1022V?qs=eP2BKZSCXI7QGPTo2Wu7Tg%3D%3D" TargetMode="External"/><Relationship Id="rId84" Type="http://schemas.openxmlformats.org/officeDocument/2006/relationships/hyperlink" Target="https://www.vishay.com/docs/20008/dcrcw.pdf" TargetMode="External"/><Relationship Id="rId85" Type="http://schemas.openxmlformats.org/officeDocument/2006/relationships/hyperlink" Target="http://mouser.com/en/ProductDetail/Vishay/CRCW0603133KFKTA?qs=IKjLF%2FNaaZUWED%2FihlRVOQ%3D%3D" TargetMode="External"/><Relationship Id="rId86" Type="http://schemas.openxmlformats.org/officeDocument/2006/relationships/hyperlink" Target="https://www.ti.com/lit/gpn/sn74lvc1g08" TargetMode="External"/><Relationship Id="rId87" Type="http://schemas.openxmlformats.org/officeDocument/2006/relationships/hyperlink" Target="https://www.mouser.com/en/ProductDetail/Texas-Instruments/SN74LVC1G08DBVT?qs=nqigI8dpoHJVJyaZlPLFSg%3D%3D" TargetMode="External"/><Relationship Id="rId88" Type="http://schemas.openxmlformats.org/officeDocument/2006/relationships/hyperlink" Target="https://weblib.samsungsem.com/mlcc/mlcc-ec-data-sheet.do?partNumber=CL05B222KB5NNN" TargetMode="External"/><Relationship Id="rId89" Type="http://schemas.openxmlformats.org/officeDocument/2006/relationships/hyperlink" Target="https://www.mouser.com/en/ProductDetail/Samsung-Electro-Mechanics/CL05B222KB5NNNC?qs=349EhDEZ59rr3rosBHU74A%3D%3D" TargetMode="External"/><Relationship Id="rId90" Type="http://schemas.openxmlformats.org/officeDocument/2006/relationships/hyperlink" Target="https://s3.us-west-2.amazonaws.com/catsy.557/Dialight_datasheet_599_Single-Color_0805_2_Taiwan.pdf" TargetMode="External"/><Relationship Id="rId91" Type="http://schemas.openxmlformats.org/officeDocument/2006/relationships/hyperlink" Target="https://www.mouser.com/en/ProductDetail/Dialight/599-0160-137F?qs=4dK74SdgGtw70mfJFAB4aw%3D%3D" TargetMode="External"/><Relationship Id="rId92" Type="http://schemas.openxmlformats.org/officeDocument/2006/relationships/hyperlink" Target="https://www.ti.com/lit/gpn/tps25947" TargetMode="External"/><Relationship Id="rId93" Type="http://schemas.openxmlformats.org/officeDocument/2006/relationships/hyperlink" Target="https://www.mouser.co.il/en/ProductDetail/Texas-Instruments/TPS259470LRPWR?qs=iLbezkQI%252BsibLmP55loGPQ%3D%3D" TargetMode="External"/><Relationship Id="rId94" Type="http://schemas.openxmlformats.org/officeDocument/2006/relationships/hyperlink" Target="https://www.ti.com/lit/ds/symlink/tps62933.pdf" TargetMode="External"/><Relationship Id="rId95" Type="http://schemas.openxmlformats.org/officeDocument/2006/relationships/hyperlink" Target="https://www.mouser.com/en/ProductDetail/Texas-Instruments/TPS62933PDRLR?qs=vvQtp7zwQdPCuPvhGs%2FYxA%3D%3D" TargetMode="External"/><Relationship Id="rId96" Type="http://schemas.openxmlformats.org/officeDocument/2006/relationships/hyperlink" Target="https://www.mouser.com/datasheet/3/40/1/cr.pdf" TargetMode="External"/><Relationship Id="rId97" Type="http://schemas.openxmlformats.org/officeDocument/2006/relationships/hyperlink" Target="https://www.mouser.com/en/ProductDetail/Bourns/CR0603-FX-22R0ELF?qs=zx2075yZkZKT%252BQKP9p4AfA%3D%3D" TargetMode="External"/><Relationship Id="rId98" Type="http://schemas.openxmlformats.org/officeDocument/2006/relationships/hyperlink" Target="https://www.mouser.com/datasheet/3/508/1/upy-gphc_x5r_4v-to-50v.pdf" TargetMode="External"/><Relationship Id="rId99" Type="http://schemas.openxmlformats.org/officeDocument/2006/relationships/hyperlink" Target="https://www.mouser.com/en/ProductDetail/YAGEO/CC0805KFX5R8BB475?qs=mzRxyRlhVdvf7w1%2FCVNeQQ%3D%3D" TargetMode="External"/><Relationship Id="rId100" Type="http://schemas.openxmlformats.org/officeDocument/2006/relationships/hyperlink" Target="https://www.we-online.com/components/products/datasheet/150060RS75000.pdf" TargetMode="External"/><Relationship Id="rId101" Type="http://schemas.openxmlformats.org/officeDocument/2006/relationships/hyperlink" Target="https://www.mouser.com/en/ProductDetail/Wurth-Elektronik/150060RS75000?qs=LlUlMxKIyB3QnmZ3fw%2FVCA%3D%3D" TargetMode="External"/><Relationship Id="rId102" Type="http://schemas.openxmlformats.org/officeDocument/2006/relationships/hyperlink" Target="https://www.st.com/resource/en/datasheet/stm32h753zi.pdf" TargetMode="External"/><Relationship Id="rId103" Type="http://schemas.openxmlformats.org/officeDocument/2006/relationships/hyperlink" Target="https://www.mouser.com/en/ProductDetail/STMicroelectronics/STM32H753ZIT6?qs=u4fy%2FsgLU9PzR9vtNNw%2FMw%3D%3D" TargetMode="External"/><Relationship Id="rId104" Type="http://schemas.openxmlformats.org/officeDocument/2006/relationships/hyperlink" Target="https://www.mouser.com/datasheet/3/201/1/1043.pdf" TargetMode="External"/><Relationship Id="rId105" Type="http://schemas.openxmlformats.org/officeDocument/2006/relationships/hyperlink" Target="https://www.mouser.com/en/ProductDetail/Keystone-Electronics/1043?qs=%2F7TOpeL5Mz6j%2FnxeOA1rsg%3D%3D" TargetMode="External"/><Relationship Id="rId106" Type="http://schemas.openxmlformats.org/officeDocument/2006/relationships/hyperlink" Target="https://www.mouser.com/datasheet/3/508/1/PYu-AC_51_RoHS_L_11.pdf" TargetMode="External"/><Relationship Id="rId107" Type="http://schemas.openxmlformats.org/officeDocument/2006/relationships/hyperlink" Target="https://www.mouser.com/en/ProductDetail/YAGEO/AC0603FR-07255KL?qs=ygRr%2FtkhteuHHB%2Fp4hR9tQ%3D%3D" TargetMode="External"/><Relationship Id="rId108" Type="http://schemas.openxmlformats.org/officeDocument/2006/relationships/hyperlink" Target="https://weblib.samsungsem.com/mlcc/mlcc-ec-data-sheet.do?partNumber=CL05C100JB5NNN" TargetMode="External"/><Relationship Id="rId109" Type="http://schemas.openxmlformats.org/officeDocument/2006/relationships/hyperlink" Target="https://www.mouser.com/en/ProductDetail/Samsung-Electro-Mechanics/CL05C100JB5NNWC?qs=CveC9HkIcgk8xP%252BMUb%252BQXw%3D%3D" TargetMode="External"/><Relationship Id="rId110" Type="http://schemas.openxmlformats.org/officeDocument/2006/relationships/hyperlink" Target="https://www.ti.com/lit/gpn/tps3700" TargetMode="External"/><Relationship Id="rId111" Type="http://schemas.openxmlformats.org/officeDocument/2006/relationships/hyperlink" Target="https://www.mouser.com/en/ProductDetail/Texas-Instruments/TPS3700DDCR2G4?qs=7%2F6SraaimPQ2iIfCXLqUgg%3D%3D" TargetMode="External"/><Relationship Id="rId112" Type="http://schemas.openxmlformats.org/officeDocument/2006/relationships/hyperlink" Target="https://www.mouser.com/datasheet/3/72/1/PYU_RT_1_TO_0_01_ROHS_L.pdf" TargetMode="External"/><Relationship Id="rId113" Type="http://schemas.openxmlformats.org/officeDocument/2006/relationships/hyperlink" Target="https://www.mouser.com/en/ProductDetail/YAGEO/RT0603BRD0794K2L?qs=bQfrgN9vNvwe21O8BIcT9A%3D%3D" TargetMode="External"/><Relationship Id="rId114" Type="http://schemas.openxmlformats.org/officeDocument/2006/relationships/hyperlink" Target="https://weblib.samsungsem.com/mlcc/mlcc-ec-data-sheet.do?partNumber=CL05C220JB5NNN" TargetMode="External"/><Relationship Id="rId115" Type="http://schemas.openxmlformats.org/officeDocument/2006/relationships/hyperlink" Target="https://www.mouser.com/en/ProductDetail/Samsung-Electro-Mechanics/CL05C220JB5NNNC?qs=349EhDEZ59rwk5AXsooX1g%3D%3D" TargetMode="External"/><Relationship Id="rId116" Type="http://schemas.openxmlformats.org/officeDocument/2006/relationships/hyperlink" Target="https://www.mouser.com/datasheet/3/85/1/qth.pdf" TargetMode="External"/><Relationship Id="rId117" Type="http://schemas.openxmlformats.org/officeDocument/2006/relationships/hyperlink" Target="https://www.mouser.com/en/ProductDetail/Samtec/QTH-060-01-L-D-A?qs=4hHQsd36k317SgTiURd9mA%3D%3D" TargetMode="External"/><Relationship Id="rId118" Type="http://schemas.openxmlformats.org/officeDocument/2006/relationships/hyperlink" Target="https://www.mouser.com/datasheet/3/40/1/cr.pdf" TargetMode="External"/><Relationship Id="rId119" Type="http://schemas.openxmlformats.org/officeDocument/2006/relationships/hyperlink" Target="https://www.mouser.com/en/ProductDetail/Bourns/CR0603-FX-3162ELF?qs=I4suiNu8FYA4%252BNO%252BV%2FGfgA%3D%3D" TargetMode="External"/><Relationship Id="rId120" Type="http://schemas.openxmlformats.org/officeDocument/2006/relationships/hyperlink" Target="https://www.mouser.com/datasheet/3/40/1/srp7028a.pdf" TargetMode="External"/><Relationship Id="rId121" Type="http://schemas.openxmlformats.org/officeDocument/2006/relationships/hyperlink" Target="https://www.mouser.com/en/ProductDetail/Bourns/SRP7028A-4R7M?qs=7z%252BmIopC6%2FJgdLFz63lL4Q%3D%3D" TargetMode="External"/><Relationship Id="rId122" Type="http://schemas.openxmlformats.org/officeDocument/2006/relationships/hyperlink" Target="https://www.ti.com/lit/gpn/tps2121" TargetMode="External"/><Relationship Id="rId123" Type="http://schemas.openxmlformats.org/officeDocument/2006/relationships/hyperlink" Target="https://www.mouser.com/en/ProductDetail/Texas-Instruments/TPS2121RUXR?qs=qSfuJ%252Bfl%2Fd7dCYiVnUfngQ%3D%3D" TargetMode="External"/><Relationship Id="rId124" Type="http://schemas.openxmlformats.org/officeDocument/2006/relationships/hyperlink" Target="https://www.mouser.com/datasheet/3/40/1/cr.pdf" TargetMode="External"/><Relationship Id="rId125" Type="http://schemas.openxmlformats.org/officeDocument/2006/relationships/hyperlink" Target="https://www.mouser.com/en/ProductDetail/Bourns/CR0603-FX-4422ELF?qs=CCIlxZRRv7iL770YaT7glg%3D%3D" TargetMode="External"/><Relationship Id="rId126" Type="http://schemas.openxmlformats.org/officeDocument/2006/relationships/hyperlink" Target="https://weblib.samsungsem.com/mlcc/mlcc-ec-data-sheet.do?partNumber=CL05B332KB5NNN" TargetMode="External"/><Relationship Id="rId127" Type="http://schemas.openxmlformats.org/officeDocument/2006/relationships/hyperlink" Target="https://www.mouser.com/en/ProductDetail/Samsung-Electro-Mechanics/CL05B332KB5NNWC?qs=xZ%2FP%252Ba9zWqZqGlb3MDMYXQ%3D%3D" TargetMode="External"/><Relationship Id="rId128" Type="http://schemas.openxmlformats.org/officeDocument/2006/relationships/hyperlink" Target="https://industrial.panasonic.com/cdbs/www-data/pdf/RDO0000/RDO0000C334.pdf" TargetMode="External"/><Relationship Id="rId129" Type="http://schemas.openxmlformats.org/officeDocument/2006/relationships/hyperlink" Target="https://www.mouser.com/en/ProductDetail/Panasonic/ERJ-3GEYJ221V?qs=4WZYzuGhm5qHCFSN9go8VQ%3D%3D" TargetMode="External"/><Relationship Id="rId130" Type="http://schemas.openxmlformats.org/officeDocument/2006/relationships/hyperlink" Target="https://www.mouser.com/catalog/specsheets/YAGEO_PYu_RC_Group_51_RoHS_L_12.pdf" TargetMode="External"/><Relationship Id="rId131" Type="http://schemas.openxmlformats.org/officeDocument/2006/relationships/hyperlink" Target="https://www.mouser.com/en/ProductDetail/YAGEO/RC0402FR-0710KL?qs=I1mnnYJTTsxUoNwrUsQExA%3D%3D" TargetMode="External"/><Relationship Id="rId132" Type="http://schemas.openxmlformats.org/officeDocument/2006/relationships/hyperlink" Target="https://www.ti.com/lit/gpn/tpd2e009" TargetMode="External"/><Relationship Id="rId133" Type="http://schemas.openxmlformats.org/officeDocument/2006/relationships/hyperlink" Target="https://www.mouser.com/en/ProductDetail/Texas-Instruments/TPD2E009DBZR?qs=XGzIaZb%2FFYIsL3UFh35JpQ%3D%3D" TargetMode="External"/><Relationship Id="rId134" Type="http://schemas.openxmlformats.org/officeDocument/2006/relationships/hyperlink" Target="https://www.analog.com/MAX4995B/datasheet" TargetMode="External"/><Relationship Id="rId135" Type="http://schemas.openxmlformats.org/officeDocument/2006/relationships/hyperlink" Target="https://www.mouser.com/en/ProductDetail/Analog-Devices-Maxim-Integrated/MAX4995BAUT%2bT?qs=7H2Jq%252ByxpJLB5kcRV%252By2dw%3D%3D" TargetMode="External"/><Relationship Id="rId136" Type="http://schemas.openxmlformats.org/officeDocument/2006/relationships/hyperlink" Target="https://www.mouser.com/datasheet/3/40/1/cr.pdf" TargetMode="External"/><Relationship Id="rId137" Type="http://schemas.openxmlformats.org/officeDocument/2006/relationships/hyperlink" Target="https://www.mouser.com/en/ProductDetail/Bourns/CR0603-FX-3300ELF?qs=I4suiNu8FYB0EfszDEV%252BGw%3D%3D" TargetMode="External"/><Relationship Id="rId138" Type="http://schemas.openxmlformats.org/officeDocument/2006/relationships/hyperlink" Target="https://www.we-online.com/components/products/datasheet/150060GS75000.pdf" TargetMode="External"/><Relationship Id="rId139" Type="http://schemas.openxmlformats.org/officeDocument/2006/relationships/hyperlink" Target="https://www.mouser.com/en/ProductDetail/Wurth-Elektronik/150060GS75000?qs=LlUlMxKIyB0UYkq5lDO8nA%3D%3D" TargetMode="External"/><Relationship Id="rId140" Type="http://schemas.openxmlformats.org/officeDocument/2006/relationships/hyperlink" Target="https://www.mouser.com/datasheet/3/40/1/cr.pdf" TargetMode="External"/><Relationship Id="rId141" Type="http://schemas.openxmlformats.org/officeDocument/2006/relationships/hyperlink" Target="https://www.mouser.com/en/ProductDetail/Bourns/CR0603-FX-6800ELF?qs=0nF2VnfAjXlQv%252B4gY05i1Q%3D%3D" TargetMode="External"/><Relationship Id="rId142" Type="http://schemas.openxmlformats.org/officeDocument/2006/relationships/hyperlink" Target="http://www.ti.com/lit/sg/scyt129e/scyt129e.pdf" TargetMode="External"/><Relationship Id="rId143" Type="http://schemas.openxmlformats.org/officeDocument/2006/relationships/hyperlink" Target="https://www.mouser.com/en/ProductDetail/Texas-Instruments/SN74AHC1G125DRLR?qs=NvrC5vRk3q5L7MSRMAsCMg%3D%3D" TargetMode="External"/><Relationship Id="rId144" Type="http://schemas.openxmlformats.org/officeDocument/2006/relationships/hyperlink" Target="https://industrial.panasonic.com/cdbs/www-data/pdf/RDO0000/AOA0000C331.pdf" TargetMode="External"/><Relationship Id="rId145" Type="http://schemas.openxmlformats.org/officeDocument/2006/relationships/hyperlink" Target="https://www.mouser.com/en/ProductDetail/Panasonic/ERJ-PA2F1242X?qs=V%252BBODeGd91LZ4cJzK1GGng%3D%3D" TargetMode="External"/><Relationship Id="rId146" Type="http://schemas.openxmlformats.org/officeDocument/2006/relationships/hyperlink" Target="https://industrial.panasonic.com/cdbs/www-data/pdf/RDO0000/RDO0000C334.pdf" TargetMode="External"/><Relationship Id="rId147" Type="http://schemas.openxmlformats.org/officeDocument/2006/relationships/hyperlink" Target="https://www.mouser.com/en/ProductDetail/Panasonic/ERJ-H3EF1872V?qs=eP2BKZSCXI5l01WTRmuzHg%3D%3D" TargetMode="External"/><Relationship Id="rId148" Type="http://schemas.openxmlformats.org/officeDocument/2006/relationships/hyperlink" Target="http://www.ti.com/lit/ds/symlink/sn74lvc1gu04.pdf" TargetMode="External"/><Relationship Id="rId149" Type="http://schemas.openxmlformats.org/officeDocument/2006/relationships/hyperlink" Target="https://www.mouser.com/en/ProductDetail/Texas-Instruments/SN74LVC1GU04DRLR?qs=dT9u2OTAaVWQWKRtkB6JZw%3D%3D" TargetMode="External"/><Relationship Id="rId150" Type="http://schemas.openxmlformats.org/officeDocument/2006/relationships/hyperlink" Target="https://weblib.samsungsem.com/mlcc/mlcc-ec-data-sheet.do?partNumber=CL10A475KO8NNN" TargetMode="External"/><Relationship Id="rId151" Type="http://schemas.openxmlformats.org/officeDocument/2006/relationships/hyperlink" Target="https://www.mouser.com/en/ProductDetail/Samsung-Electro-Mechanics/CL10A475KO8NNNC?qs=X6jEic%2FHinAbIjmLnFfqqQ%3D%3D" TargetMode="External"/><Relationship Id="rId152" Type="http://schemas.openxmlformats.org/officeDocument/2006/relationships/hyperlink" Target="https://www.mouser.com/datasheet/3/184/1/abm8.pdf" TargetMode="External"/><Relationship Id="rId153" Type="http://schemas.openxmlformats.org/officeDocument/2006/relationships/hyperlink" Target="https://www.mouser.com/en/ProductDetail/ABRACON/ABM8-25.000MHZ-B2-T?qs=D0XpjEo%2FJ5CyDikUKoGKpw%3D%3D" TargetMode="External"/><Relationship Id="rId154" Type="http://schemas.openxmlformats.org/officeDocument/2006/relationships/hyperlink" Target="http://www.ti.com/lit/gpn/txs0102" TargetMode="External"/><Relationship Id="rId155" Type="http://schemas.openxmlformats.org/officeDocument/2006/relationships/hyperlink" Target="https://www.mouser.com/en/ProductDetail/Texas-Instruments/TXS0102DCUR?qs=dB0LedT%252BmmBcQ3I%2Fs9XEDA%3D%3D" TargetMode="External"/><Relationship Id="rId156" Type="http://schemas.openxmlformats.org/officeDocument/2006/relationships/hyperlink" Target="https://www.vishay.com/docs/20035/dcrcwe3.pdf" TargetMode="External"/><Relationship Id="rId157" Type="http://schemas.openxmlformats.org/officeDocument/2006/relationships/hyperlink" Target="https://www.mouser.com/en/ProductDetail/Vishay/CRCW06035K05FKEA?qs=p2bJuJLPpvR%2F884G9E6gpw%3D%3D" TargetMode="External"/><Relationship Id="rId158" Type="http://schemas.openxmlformats.org/officeDocument/2006/relationships/hyperlink" Target="https://www.mouser.com/datasheet/3/40/1/cr.pdf" TargetMode="External"/><Relationship Id="rId159" Type="http://schemas.openxmlformats.org/officeDocument/2006/relationships/hyperlink" Target="https://www.mouser.com/en/ProductDetail/Bourns/CR0603-FX-2102ELF?qs=zx2075yZkZKAHyCDerhqYg%3D%3D" TargetMode="External"/><Relationship Id="rId160" Type="http://schemas.openxmlformats.org/officeDocument/2006/relationships/hyperlink" Target="https://ckswitches.com/media/1422/js.pdf" TargetMode="External"/><Relationship Id="rId161" Type="http://schemas.openxmlformats.org/officeDocument/2006/relationships/hyperlink" Target="https://www.mouser.com/en/ProductDetail/CK/JS102011SAQN?qs=LgMIjt8LuD%252B69bNM9a%2FozQ%3D%3D" TargetMode="External"/><Relationship Id="rId162" Type="http://schemas.openxmlformats.org/officeDocument/2006/relationships/hyperlink" Target="https://www.mouser.com/datasheet/3/40/1/cr.pdf" TargetMode="External"/><Relationship Id="rId163" Type="http://schemas.openxmlformats.org/officeDocument/2006/relationships/hyperlink" Target="https://www.mouser.com/en/ProductDetail/Bourns/CR0603-FX-4642ELF?qs=CCIlxZRRv7h4Dp7z3u08Ag%3D%3D" TargetMode="External"/><Relationship Id="rId164" Type="http://schemas.openxmlformats.org/officeDocument/2006/relationships/hyperlink" Target="https://www.rohm.com/datasheet?p=KTR03EZPF" TargetMode="External"/><Relationship Id="rId165" Type="http://schemas.openxmlformats.org/officeDocument/2006/relationships/hyperlink" Target="https://www.mouser.com/en/ProductDetail/ROHM-Semiconductor/KTR03EZPF3403?qs=17ckDYBRdekVwQV2ubwDJA%3D%3D" TargetMode="External"/><Relationship Id="rId166" Type="http://schemas.openxmlformats.org/officeDocument/2006/relationships/hyperlink" Target="https://www.mouser.com/en/ProductDetail/CK/PTS645SK43SMTR92-LFS?qs=Imq1NPwxi76wjUe7hzmA%252BA%3D%3D&amp;mgh=1" TargetMode="External"/><Relationship Id="rId167" Type="http://schemas.openxmlformats.org/officeDocument/2006/relationships/hyperlink" Target="https://www.vishay.com/docs/20008/dcrcw.pdf" TargetMode="External"/><Relationship Id="rId168" Type="http://schemas.openxmlformats.org/officeDocument/2006/relationships/hyperlink" Target="https://www.mouser.com/en/ProductDetail/Vishay/CRCW06033R32FKTA?qs=oycmPmJ%2FEmljaarH4ntLEQ%3D%3D" TargetMode="External"/><Relationship Id="rId169" Type="http://schemas.openxmlformats.org/officeDocument/2006/relationships/hyperlink" Target="https://www.te.com/commerce/DocumentDelivery/DDEController?Action=srchrtrv&amp;DocNm=1622877&amp;DocType=Customer+Drawing&amp;DocLang=English&amp;PartCntxt=1622877-2" TargetMode="External"/><Relationship Id="rId170" Type="http://schemas.openxmlformats.org/officeDocument/2006/relationships/hyperlink" Target="https://www.mouser.com/en/ProductDetail/TE-Connectivity-Holsworthy/CRG0603F1M0-10?qs=s1WWODT2SXVmMRw54xD%2FMg%3D%3D" TargetMode="External"/><Relationship Id="rId171" Type="http://schemas.openxmlformats.org/officeDocument/2006/relationships/hyperlink" Target="https://www.we-online.com/components/products/datasheet/742792022.pdf" TargetMode="External"/><Relationship Id="rId172" Type="http://schemas.openxmlformats.org/officeDocument/2006/relationships/hyperlink" Target="https://www.mouser.com/en/ProductDetail/Wurth-Elektronik/742792022?qs=5twSNpOB8IBksnQcn3fDWA%3D%3D" TargetMode="External"/><Relationship Id="rId173" Type="http://schemas.openxmlformats.org/officeDocument/2006/relationships/hyperlink" Target="https://www.we-online.com/components/products/datasheet/560112116151.pdf" TargetMode="External"/><Relationship Id="rId174" Type="http://schemas.openxmlformats.org/officeDocument/2006/relationships/hyperlink" Target="https://www.mouser.com/en/ProductDetail/Wurth-Elektronik/560112116151?qs=sGAEpiMZZMtG0KNrPCHnjRpfexHZHoPIOe63Hq9ISdAfX3qbuXrk3g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9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60" customWidth="1"/>
    <col min="2" max="2" width="8" customWidth="1"/>
    <col min="3" max="3" width="39" customWidth="1"/>
    <col min="4" max="4" width="22" customWidth="1"/>
    <col min="5" max="5" width="28" customWidth="1"/>
    <col min="6" max="6" width="60" customWidth="1"/>
    <col min="7" max="7" width="17" customWidth="1"/>
    <col min="8" max="8" width="60" customWidth="1"/>
    <col min="9" max="9" width="60" customWidth="1"/>
    <col min="10" max="10" width="60" customWidth="1"/>
    <col min="11" max="11" width="8" customWidth="1"/>
    <col min="12" max="12" width="29" customWidth="1"/>
    <col min="13" max="13" width="20" customWidth="1"/>
    <col min="14" max="14" width="9" customWidth="1"/>
    <col min="15" max="15" width="22" customWidth="1"/>
    <col min="16" max="16" width="12" customWidth="1"/>
    <col min="17" max="17" width="11" customWidth="1"/>
    <col min="18" max="18" width="9" customWidth="1"/>
    <col min="19" max="19" width="13" customWidth="1"/>
    <col min="20" max="20" width="9" customWidth="1"/>
    <col min="21" max="21" width="11" customWidth="1"/>
    <col min="22" max="22" width="17" customWidth="1"/>
    <col min="23" max="23" width="12" customWidth="1"/>
    <col min="24" max="24" width="10" customWidth="1"/>
    <col min="25" max="25" width="12" customWidth="1"/>
    <col min="26" max="26" width="12" customWidth="1"/>
  </cols>
  <sheetData>
    <row r="1">
      <c r="A1" s="1" t="inlineStr">
        <is>
          <t xml:space="preserve">Refs</t>
        </is>
      </c>
      <c r="B1" s="1" t="inlineStr">
        <is>
          <t xml:space="preserve">Qty</t>
        </is>
      </c>
      <c r="C1" s="1" t="inlineStr">
        <is>
          <t xml:space="preserve">Value</t>
        </is>
      </c>
      <c r="D1" s="1" t="inlineStr">
        <is>
          <t xml:space="preserve">MPN</t>
        </is>
      </c>
      <c r="E1" s="1" t="inlineStr">
        <is>
          <t xml:space="preserve">Manufacturer</t>
        </is>
      </c>
      <c r="F1" s="1" t="inlineStr">
        <is>
          <t xml:space="preserve">Footprint</t>
        </is>
      </c>
      <c r="G1" s="1" t="inlineStr">
        <is>
          <t xml:space="preserve">Package</t>
        </is>
      </c>
      <c r="H1" s="1" t="inlineStr">
        <is>
          <t xml:space="preserve">Datasheet</t>
        </is>
      </c>
      <c r="I1" s="1" t="inlineStr">
        <is>
          <t xml:space="preserve">Mouser Link</t>
        </is>
      </c>
      <c r="J1" s="1" t="inlineStr">
        <is>
          <t xml:space="preserve">Description</t>
        </is>
      </c>
      <c r="K1" s="1" t="inlineStr">
        <is>
          <t xml:space="preserve">Basic</t>
        </is>
      </c>
      <c r="L1" s="1" t="inlineStr">
        <is>
          <t xml:space="preserve">RoHS</t>
        </is>
      </c>
      <c r="M1" s="1" t="inlineStr">
        <is>
          <t xml:space="preserve">Country of Origin</t>
        </is>
      </c>
      <c r="N1" s="1" t="inlineStr">
        <is>
          <t xml:space="preserve">Source</t>
        </is>
      </c>
      <c r="O1" s="1" t="inlineStr">
        <is>
          <t xml:space="preserve">Dist P/N</t>
        </is>
      </c>
      <c r="P1" s="1" t="inlineStr">
        <is>
          <t xml:space="preserve">Unit Price</t>
        </is>
      </c>
      <c r="Q1" s="1" t="inlineStr">
        <is>
          <t xml:space="preserve">Ext Price</t>
        </is>
      </c>
      <c r="R1" s="1" t="inlineStr">
        <is>
          <t xml:space="preserve">Stock</t>
        </is>
      </c>
      <c r="S1" s="1" t="inlineStr">
        <is>
          <t xml:space="preserve">Lifecycle</t>
        </is>
      </c>
      <c r="T1" s="1" t="inlineStr">
        <is>
          <t xml:space="preserve">Min Qty</t>
        </is>
      </c>
      <c r="U1" s="1" t="inlineStr">
        <is>
          <t xml:space="preserve">Final Qty</t>
        </is>
      </c>
      <c r="V1" s="1" t="inlineStr">
        <is>
          <t xml:space="preserve">Order Unit Cost</t>
        </is>
      </c>
      <c r="W1" s="1" t="inlineStr">
        <is>
          <t xml:space="preserve">Cost @ Qty</t>
        </is>
      </c>
      <c r="X1" s="1" t="inlineStr">
        <is>
          <t xml:space="preserve">Tariff %</t>
        </is>
      </c>
      <c r="Y1" s="1" t="inlineStr">
        <is>
          <t xml:space="preserve">Tax/Tariff</t>
        </is>
      </c>
      <c r="Z1" s="1" t="inlineStr">
        <is>
          <t xml:space="preserve">Total Cost</t>
        </is>
      </c>
    </row>
    <row r="2">
      <c r="A2" t="inlineStr">
        <is>
          <t xml:space="preserve">R2</t>
        </is>
      </c>
      <c r="B2">
        <v>1</v>
      </c>
      <c r="C2" t="inlineStr">
        <is>
          <t xml:space="preserve">1.18k</t>
        </is>
      </c>
      <c r="D2" t="inlineStr">
        <is>
          <t xml:space="preserve">CR0603-FX-1181ELF</t>
        </is>
      </c>
      <c r="E2" t="inlineStr">
        <is>
          <t xml:space="preserve">Bourns</t>
        </is>
      </c>
      <c r="F2" t="inlineStr">
        <is>
          <t xml:space="preserve">Resistor_SMD:R_0603_1608Metric</t>
        </is>
      </c>
      <c r="G2" t="inlineStr">
        <is>
          <t xml:space="preserve">0603</t>
        </is>
      </c>
      <c r="H2" s="2" t="inlineStr">
        <is>
          <t xml:space="preserve">https://www.mouser.com/datasheet/3/40/1/cr.pdf</t>
        </is>
      </c>
      <c r="I2" s="2" t="inlineStr">
        <is>
          <t xml:space="preserve">https://www.mouser.com/en/ProductDetail/Bourns/CR0603-FX-1181ELF?qs=e7cxVwPieur3A68XPb9FHg%3D%3D</t>
        </is>
      </c>
      <c r="J2" t="inlineStr">
        <is>
          <t xml:space="preserve">Resistor, small symbol</t>
        </is>
      </c>
      <c r="K2" t="inlineStr">
        <is>
          <t xml:space="preserve">yes</t>
        </is>
      </c>
      <c r="L2" t="inlineStr">
        <is>
          <t xml:space="preserve">Details</t>
        </is>
      </c>
      <c r="M2" t="inlineStr">
        <is>
          <t xml:space="preserve">Taiwan</t>
        </is>
      </c>
      <c r="N2" t="inlineStr">
        <is>
          <t xml:space="preserve">Mouser</t>
        </is>
      </c>
      <c r="O2" t="inlineStr">
        <is>
          <t xml:space="preserve">652-CR0603FX-1181ELF</t>
        </is>
      </c>
      <c r="P2" s="3">
        <v>0.1</v>
      </c>
      <c r="Q2" s="3">
        <f>P2*B2</f>
        <v>0.1</v>
      </c>
      <c r="R2">
        <v>51357</v>
      </c>
      <c r="S2" t="inlineStr">
        <is>
          <t xml:space="preserve">Active</t>
        </is>
      </c>
      <c r="T2">
        <v>1</v>
      </c>
      <c r="U2">
        <v>10</v>
      </c>
      <c r="V2" s="3">
        <v>0.016</v>
      </c>
      <c r="W2" s="3">
        <f>V2*U2</f>
        <v>0.16</v>
      </c>
      <c r="X2">
        <v>0</v>
      </c>
      <c r="Y2" s="3">
        <f>W2*X2/100</f>
        <v>0</v>
      </c>
      <c r="Z2" s="3">
        <f>W2+Y2</f>
        <v>0.16</v>
      </c>
    </row>
    <row r="3">
      <c r="A3" t="inlineStr">
        <is>
          <t xml:space="preserve">R59,R60,R61,R63</t>
        </is>
      </c>
      <c r="B3">
        <v>4</v>
      </c>
      <c r="C3" t="inlineStr">
        <is>
          <t xml:space="preserve">100</t>
        </is>
      </c>
      <c r="D3" t="inlineStr">
        <is>
          <t xml:space="preserve">560112116009</t>
        </is>
      </c>
      <c r="E3" t="inlineStr">
        <is>
          <t xml:space="preserve">Wurth Elektronik</t>
        </is>
      </c>
      <c r="F3" t="inlineStr">
        <is>
          <t xml:space="preserve">Resistor_SMD:R_0603_1608Metric</t>
        </is>
      </c>
      <c r="G3" t="inlineStr">
        <is>
          <t xml:space="preserve">0603</t>
        </is>
      </c>
      <c r="H3" s="2" t="inlineStr">
        <is>
          <t xml:space="preserve">https://www.we-online.com/components/products/datasheet/560112116009.pdf</t>
        </is>
      </c>
      <c r="I3" s="2" t="inlineStr">
        <is>
          <t xml:space="preserve">https://www.mouser.com/en/ProductDetail/Wurth-Elektronik/560112116009?qs=mELouGlnn3daC%252BuPHZwWig%3D%3D</t>
        </is>
      </c>
      <c r="J3" t="inlineStr">
        <is>
          <t xml:space="preserve">Resistor</t>
        </is>
      </c>
      <c r="K3" t="inlineStr">
        <is>
          <t xml:space="preserve">yes</t>
        </is>
      </c>
      <c r="L3" t="inlineStr">
        <is>
          <t xml:space="preserve">Details</t>
        </is>
      </c>
      <c r="M3" t="inlineStr">
        <is>
          <t xml:space="preserve">Taiwan</t>
        </is>
      </c>
      <c r="N3" t="inlineStr">
        <is>
          <t xml:space="preserve">Mouser</t>
        </is>
      </c>
      <c r="O3" t="inlineStr">
        <is>
          <t xml:space="preserve">710-560112116009</t>
        </is>
      </c>
      <c r="P3" s="3">
        <v>0.11</v>
      </c>
      <c r="Q3" s="3">
        <f>P3*B3</f>
        <v>0.44</v>
      </c>
      <c r="R3">
        <v>12356</v>
      </c>
      <c r="S3" t="inlineStr">
        <is>
          <t xml:space="preserve">Active</t>
        </is>
      </c>
      <c r="T3">
        <v>4</v>
      </c>
      <c r="U3">
        <v>12</v>
      </c>
      <c r="V3" s="3">
        <v>0.102</v>
      </c>
      <c r="W3" s="3">
        <f>V3*U3</f>
        <v>1.224</v>
      </c>
      <c r="X3">
        <v>0</v>
      </c>
      <c r="Y3" s="3">
        <f>W3*X3/100</f>
        <v>0</v>
      </c>
      <c r="Z3" s="3">
        <f>W3+Y3</f>
        <v>1.224</v>
      </c>
    </row>
    <row r="4">
      <c r="A4" t="inlineStr">
        <is>
          <t xml:space="preserve">C3,C5,C8,C10,C13,C15,C17,C19,C20,C21,C22,C26,C28,C29,C38,C39,C40,C41,C44,C49,C50,C51,C54,C56,C57,C58,C59,C60,C61,C64,C65,C66,C67,C68,C69,C71,C73,C74,C79,C83,C84,C85,C86,C87,C88,C89,C90,C91,C92,C93,C94,C95,C96,C98,C99,C100,C101,C103,C104,C105</t>
        </is>
      </c>
      <c r="B4">
        <v>60</v>
      </c>
      <c r="C4" t="inlineStr">
        <is>
          <t xml:space="preserve">100nF</t>
        </is>
      </c>
      <c r="D4" t="inlineStr">
        <is>
          <t xml:space="preserve">CL05B104KO5NNNC</t>
        </is>
      </c>
      <c r="E4" t="inlineStr">
        <is>
          <t xml:space="preserve">Samsung</t>
        </is>
      </c>
      <c r="F4" t="inlineStr">
        <is>
          <t xml:space="preserve">Capacitor_SMD:C_0402_1005Metric</t>
        </is>
      </c>
      <c r="G4" t="inlineStr">
        <is>
          <t xml:space="preserve">0402</t>
        </is>
      </c>
      <c r="H4" s="2" t="inlineStr">
        <is>
          <t xml:space="preserve">https://weblib.samsungsem.com/mlcc/mlcc-ec-data-sheet.do?partNumber=CL05B104KO5NNN</t>
        </is>
      </c>
      <c r="I4" s="2" t="inlineStr">
        <is>
          <t xml:space="preserve">https://www.mouser.com/en/ProductDetail/Samsung-Electro-Mechanics/CL05B104KO5NNNC?qs=hqM3L16%252BxlfT2SKOuAUq6Q%3D%3D</t>
        </is>
      </c>
      <c r="J4" t="inlineStr">
        <is>
          <t xml:space="preserve">capacitor, small US symbol</t>
        </is>
      </c>
      <c r="K4" t="inlineStr">
        <is>
          <t xml:space="preserve">yes</t>
        </is>
      </c>
      <c r="L4" t="inlineStr">
        <is>
          <t xml:space="preserve">Details</t>
        </is>
      </c>
      <c r="M4" t="inlineStr">
        <is>
          <t xml:space="preserve">Philippines</t>
        </is>
      </c>
      <c r="N4" t="inlineStr">
        <is>
          <t xml:space="preserve">Mouser</t>
        </is>
      </c>
      <c r="O4" t="inlineStr">
        <is>
          <t xml:space="preserve">187-CL05B104KO5NNNC</t>
        </is>
      </c>
      <c r="P4" s="3">
        <v>0.1</v>
      </c>
      <c r="Q4" s="3">
        <f>P4*B4</f>
        <v>6</v>
      </c>
      <c r="R4">
        <v>4290139</v>
      </c>
      <c r="S4" t="inlineStr">
        <is>
          <t xml:space="preserve">Active</t>
        </is>
      </c>
      <c r="T4">
        <v>60</v>
      </c>
      <c r="U4">
        <v>180</v>
      </c>
      <c r="V4" s="3">
        <v>0.01</v>
      </c>
      <c r="W4" s="3">
        <f>V4*U4</f>
        <v>1.8</v>
      </c>
      <c r="X4">
        <v>8</v>
      </c>
      <c r="Y4" s="3">
        <f>W4*X4/100</f>
        <v>0.144</v>
      </c>
      <c r="Z4" s="3">
        <f>W4+Y4</f>
        <v>1.944</v>
      </c>
    </row>
    <row r="5">
      <c r="A5" t="inlineStr">
        <is>
          <t xml:space="preserve">R44</t>
        </is>
      </c>
      <c r="B5">
        <v>1</v>
      </c>
      <c r="C5" t="inlineStr">
        <is>
          <t xml:space="preserve">3.3</t>
        </is>
      </c>
      <c r="D5" t="inlineStr">
        <is>
          <t xml:space="preserve">CRCW04023R32FKED</t>
        </is>
      </c>
      <c r="E5" t="inlineStr">
        <is>
          <t xml:space="preserve">Vishay</t>
        </is>
      </c>
      <c r="F5" t="inlineStr">
        <is>
          <t xml:space="preserve">Resistor_SMD:R_0402_1005Metric</t>
        </is>
      </c>
      <c r="G5" t="inlineStr">
        <is>
          <t xml:space="preserve">0402</t>
        </is>
      </c>
      <c r="H5" s="2" t="inlineStr">
        <is>
          <t xml:space="preserve">https://www.vishay.com/docs/20035/dcrcwe3.pdf</t>
        </is>
      </c>
      <c r="I5" s="2" t="inlineStr">
        <is>
          <t xml:space="preserve">https://www.mouser.com/en/ProductDetail/Vishay/CRCW04023R32FKED?qs=%2FGvPWUwWV9YPS%252BJP%2FiUvGA%3D%3D</t>
        </is>
      </c>
      <c r="J5" t="inlineStr">
        <is>
          <t xml:space="preserve">Resistor, small symbol</t>
        </is>
      </c>
      <c r="K5" t="inlineStr">
        <is>
          <t xml:space="preserve">yes</t>
        </is>
      </c>
      <c r="L5" t="inlineStr">
        <is>
          <t xml:space="preserve">Details</t>
        </is>
      </c>
      <c r="M5" t="inlineStr">
        <is>
          <t xml:space="preserve">Israel</t>
        </is>
      </c>
      <c r="N5" t="inlineStr">
        <is>
          <t xml:space="preserve">Mouser</t>
        </is>
      </c>
      <c r="O5" t="inlineStr">
        <is>
          <t xml:space="preserve">71-CRCW0402-3.32-E3</t>
        </is>
      </c>
      <c r="P5" s="3">
        <v>0.1</v>
      </c>
      <c r="Q5" s="3">
        <f>P5*B5</f>
        <v>0.1</v>
      </c>
      <c r="R5">
        <v>91174</v>
      </c>
      <c r="S5" t="inlineStr">
        <is>
          <t xml:space="preserve">Active</t>
        </is>
      </c>
      <c r="T5">
        <v>1</v>
      </c>
      <c r="U5">
        <v>10</v>
      </c>
      <c r="V5" s="3">
        <v>0.025</v>
      </c>
      <c r="W5" s="3">
        <f>V5*U5</f>
        <v>0.25</v>
      </c>
      <c r="X5">
        <v>10</v>
      </c>
      <c r="Y5" s="3">
        <f>W5*X5/100</f>
        <v>0.025</v>
      </c>
      <c r="Z5" s="3">
        <f>W5+Y5</f>
        <v>0.275</v>
      </c>
    </row>
    <row r="6">
      <c r="A6" t="inlineStr">
        <is>
          <t xml:space="preserve">OR1,OR2,OR3,OR4</t>
        </is>
      </c>
      <c r="B6">
        <v>4</v>
      </c>
      <c r="C6" t="inlineStr">
        <is>
          <t xml:space="preserve">74AHC1G32QSE-7</t>
        </is>
      </c>
      <c r="D6" t="inlineStr">
        <is>
          <t xml:space="preserve">74AHC1G32QSE-7</t>
        </is>
      </c>
      <c r="E6" t="inlineStr">
        <is>
          <t xml:space="preserve">Diodes Incorporated</t>
        </is>
      </c>
      <c r="F6" t="inlineStr">
        <is>
          <t xml:space="preserve">Package_TO_SOT_SMD:SOT-353_SC-70-5</t>
        </is>
      </c>
      <c r="G6" t="inlineStr">
        <is>
          <t xml:space="preserve">SOT-353-5</t>
        </is>
      </c>
      <c r="H6" s="2" t="inlineStr">
        <is>
          <t xml:space="preserve">http://www.ti.com/lit/sg/scyt129e/scyt129e.pdf</t>
        </is>
      </c>
      <c r="I6" s="2" t="inlineStr">
        <is>
          <t xml:space="preserve">https://www.mouser.com/en/ProductDetail/Diodes-Incorporated/74AHC1G32QSE-7?qs=bAKSY%2FctAC6EE%252BFwJC1d6Q%3D%3D</t>
        </is>
      </c>
      <c r="J6" t="inlineStr">
        <is>
          <t xml:space="preserve">Single OR Gate, Low-Voltage CMOS</t>
        </is>
      </c>
      <c r="K6"/>
      <c r="L6" t="inlineStr">
        <is>
          <t xml:space="preserve">Details</t>
        </is>
      </c>
      <c r="M6" t="inlineStr">
        <is>
          <t xml:space="preserve">China</t>
        </is>
      </c>
      <c r="N6" t="inlineStr">
        <is>
          <t xml:space="preserve">Mouser</t>
        </is>
      </c>
      <c r="O6" t="inlineStr">
        <is>
          <t xml:space="preserve">621-74AHC1G32QSE-7</t>
        </is>
      </c>
      <c r="P6" s="3">
        <v>0.14</v>
      </c>
      <c r="Q6" s="3">
        <f>P6*B6</f>
        <v>0.56</v>
      </c>
      <c r="R6">
        <v>7036</v>
      </c>
      <c r="S6" t="inlineStr">
        <is>
          <t xml:space="preserve">Active</t>
        </is>
      </c>
      <c r="T6">
        <v>4</v>
      </c>
      <c r="U6">
        <v>12</v>
      </c>
      <c r="V6" s="3">
        <v>0.092</v>
      </c>
      <c r="W6" s="3">
        <f>V6*U6</f>
        <v>1.104</v>
      </c>
      <c r="X6">
        <v>37.86</v>
      </c>
      <c r="Y6" s="3">
        <f>W6*X6/100</f>
        <v>0.418</v>
      </c>
      <c r="Z6" s="3">
        <f>W6+Y6</f>
        <v>1.522</v>
      </c>
    </row>
    <row r="7">
      <c r="A7" t="inlineStr">
        <is>
          <t xml:space="preserve">ARM1</t>
        </is>
      </c>
      <c r="B7">
        <v>1</v>
      </c>
      <c r="C7" t="inlineStr">
        <is>
          <t xml:space="preserve">SN74LVC1G74DCUR</t>
        </is>
      </c>
      <c r="D7" t="inlineStr">
        <is>
          <t xml:space="preserve">SN74LVC1G74DCUR</t>
        </is>
      </c>
      <c r="E7" t="inlineStr">
        <is>
          <t xml:space="preserve">Texas Instruments</t>
        </is>
      </c>
      <c r="F7" t="inlineStr">
        <is>
          <t xml:space="preserve">MyFootprints:SOP50P310X90-8N</t>
        </is>
      </c>
      <c r="G7" t="inlineStr">
        <is>
          <t xml:space="preserve">VSSOP-8</t>
        </is>
      </c>
      <c r="H7" s="2" t="inlineStr">
        <is>
          <t xml:space="preserve">https://www.ti.com/lit/gpn/sn74lvc1g74</t>
        </is>
      </c>
      <c r="I7" s="2" t="inlineStr">
        <is>
          <t xml:space="preserve">https://www.mouser.com/en/ProductDetail/Texas-Instruments/SN74LVC1G74DCUR?qs=DS7Z8uEdLNyRBKrHxqRXjA%3D%3D</t>
        </is>
      </c>
      <c r="J7" t="inlineStr">
        <is>
          <t xml:space="preserve">Flip Flops</t>
        </is>
      </c>
      <c r="K7"/>
      <c r="L7" t="inlineStr">
        <is>
          <t xml:space="preserve">Details</t>
        </is>
      </c>
      <c r="M7" t="inlineStr">
        <is>
          <t xml:space="preserve">China</t>
        </is>
      </c>
      <c r="N7" t="inlineStr">
        <is>
          <t xml:space="preserve">Mouser</t>
        </is>
      </c>
      <c r="O7" t="inlineStr">
        <is>
          <t xml:space="preserve">595-SN74LVC1G74DCUR</t>
        </is>
      </c>
      <c r="P7" s="3">
        <v>0.6</v>
      </c>
      <c r="Q7" s="3">
        <f>P7*B7</f>
        <v>0.6</v>
      </c>
      <c r="R7">
        <v>52594</v>
      </c>
      <c r="S7" t="inlineStr">
        <is>
          <t xml:space="preserve">Active</t>
        </is>
      </c>
      <c r="T7">
        <v>1</v>
      </c>
      <c r="U7">
        <v>3</v>
      </c>
      <c r="V7" s="3">
        <v>0.6</v>
      </c>
      <c r="W7" s="3">
        <f>V7*U7</f>
        <v>1.8</v>
      </c>
      <c r="X7">
        <v>8</v>
      </c>
      <c r="Y7" s="3">
        <f>W7*X7/100</f>
        <v>0.144</v>
      </c>
      <c r="Z7" s="3">
        <f>W7+Y7</f>
        <v>1.944</v>
      </c>
    </row>
    <row r="8">
      <c r="A8" t="inlineStr">
        <is>
          <t xml:space="preserve">R1,R7</t>
        </is>
      </c>
      <c r="B8">
        <v>2</v>
      </c>
      <c r="C8" t="inlineStr">
        <is>
          <t xml:space="preserve">5.1k</t>
        </is>
      </c>
      <c r="D8" t="inlineStr">
        <is>
          <t xml:space="preserve">CR0603-FX-5101ELF</t>
        </is>
      </c>
      <c r="E8" t="inlineStr">
        <is>
          <t xml:space="preserve">Bourns</t>
        </is>
      </c>
      <c r="F8" t="inlineStr">
        <is>
          <t xml:space="preserve">Resistor_SMD:R_0603_1608Metric</t>
        </is>
      </c>
      <c r="G8" t="inlineStr">
        <is>
          <t xml:space="preserve">0603</t>
        </is>
      </c>
      <c r="H8" s="2" t="inlineStr">
        <is>
          <t xml:space="preserve">https://www.mouser.com/datasheet/3/40/1/cr.pdf</t>
        </is>
      </c>
      <c r="I8" s="2" t="inlineStr">
        <is>
          <t xml:space="preserve">https://www.mouser.com/en/ProductDetail/Bourns/CR0603-FX-5101ELF?qs=0nF2VnfAjXkzZl7D0jRjmQ%3D%3D</t>
        </is>
      </c>
      <c r="J8" t="inlineStr">
        <is>
          <t xml:space="preserve">Resistor, small symbol</t>
        </is>
      </c>
      <c r="K8" t="inlineStr">
        <is>
          <t xml:space="preserve">yes</t>
        </is>
      </c>
      <c r="L8" t="inlineStr">
        <is>
          <t xml:space="preserve">Details</t>
        </is>
      </c>
      <c r="M8" t="inlineStr">
        <is>
          <t xml:space="preserve">Taiwan</t>
        </is>
      </c>
      <c r="N8" t="inlineStr">
        <is>
          <t xml:space="preserve">Mouser</t>
        </is>
      </c>
      <c r="O8" t="inlineStr">
        <is>
          <t xml:space="preserve">652-CR0603FX-5101ELF</t>
        </is>
      </c>
      <c r="P8" s="3">
        <v>0.1</v>
      </c>
      <c r="Q8" s="3">
        <f>P8*B8</f>
        <v>0.2</v>
      </c>
      <c r="R8">
        <v>1496308</v>
      </c>
      <c r="S8" t="inlineStr">
        <is>
          <t xml:space="preserve">Active</t>
        </is>
      </c>
      <c r="T8">
        <v>2</v>
      </c>
      <c r="U8">
        <v>10</v>
      </c>
      <c r="V8" s="3">
        <v>0.012</v>
      </c>
      <c r="W8" s="3">
        <f>V8*U8</f>
        <v>0.12</v>
      </c>
      <c r="X8">
        <v>0</v>
      </c>
      <c r="Y8" s="3">
        <f>W8*X8/100</f>
        <v>0</v>
      </c>
      <c r="Z8" s="3">
        <f>W8+Y8</f>
        <v>0.12</v>
      </c>
    </row>
    <row r="9">
      <c r="A9" t="inlineStr">
        <is>
          <t xml:space="preserve">LD1,LD2,LD3,LD4,LD5,LD6,LD7</t>
        </is>
      </c>
      <c r="B9">
        <v>7</v>
      </c>
      <c r="C9" t="inlineStr">
        <is>
          <t xml:space="preserve">TPS22917LDBVR</t>
        </is>
      </c>
      <c r="D9" t="inlineStr">
        <is>
          <t xml:space="preserve">TPS22917LDBVR</t>
        </is>
      </c>
      <c r="E9" t="inlineStr">
        <is>
          <t xml:space="preserve">Texas Instruments</t>
        </is>
      </c>
      <c r="F9" t="inlineStr">
        <is>
          <t xml:space="preserve">Package_TO_SOT_SMD:SOT-23-6</t>
        </is>
      </c>
      <c r="G9" t="inlineStr">
        <is>
          <t xml:space="preserve">SOT23-6</t>
        </is>
      </c>
      <c r="H9" s="2" t="inlineStr">
        <is>
          <t xml:space="preserve">http://www.ti.com/lit/ds/symlink/tps22917.pdf</t>
        </is>
      </c>
      <c r="I9" s="2" t="inlineStr">
        <is>
          <t xml:space="preserve">https://www.mouser.com/en/ProductDetail/Texas-Instruments/TPS22917LDBVR?qs=doiCPypUmgGbWD5ZXr9T%2FQ%3D%3D</t>
        </is>
      </c>
      <c r="J9" t="inlineStr">
        <is>
          <t xml:space="preserve">1V to 5.5V, 2A, 80mΩ Ultra-Low Leakage Load Switch, Active Low, SOT23-6</t>
        </is>
      </c>
      <c r="K9"/>
      <c r="L9" t="inlineStr">
        <is>
          <t xml:space="preserve">Details</t>
        </is>
      </c>
      <c r="M9" t="inlineStr">
        <is>
          <t xml:space="preserve">Philippines</t>
        </is>
      </c>
      <c r="N9" t="inlineStr">
        <is>
          <t xml:space="preserve">Mouser</t>
        </is>
      </c>
      <c r="O9" t="inlineStr">
        <is>
          <t xml:space="preserve">595-TPS22917LDBVR</t>
        </is>
      </c>
      <c r="P9" s="3">
        <v>0.52</v>
      </c>
      <c r="Q9" s="3">
        <f>P9*B9</f>
        <v>3.64</v>
      </c>
      <c r="R9">
        <v>171</v>
      </c>
      <c r="S9" t="inlineStr">
        <is>
          <t xml:space="preserve">Active</t>
        </is>
      </c>
      <c r="T9">
        <v>7</v>
      </c>
      <c r="U9">
        <v>21</v>
      </c>
      <c r="V9" s="3">
        <v>0.367</v>
      </c>
      <c r="W9" s="3">
        <f>V9*U9</f>
        <v>7.707</v>
      </c>
      <c r="X9">
        <v>0</v>
      </c>
      <c r="Y9" s="3">
        <f>W9*X9/100</f>
        <v>0</v>
      </c>
      <c r="Z9" s="3">
        <f>W9+Y9</f>
        <v>7.707</v>
      </c>
    </row>
    <row r="10">
      <c r="A10" t="inlineStr">
        <is>
          <t xml:space="preserve">Q_OVP1</t>
        </is>
      </c>
      <c r="B10">
        <v>1</v>
      </c>
      <c r="C10" t="inlineStr">
        <is>
          <t xml:space="preserve">2N7002</t>
        </is>
      </c>
      <c r="D10" t="inlineStr">
        <is>
          <t xml:space="preserve">2N7002</t>
        </is>
      </c>
      <c r="E10" t="inlineStr">
        <is>
          <t xml:space="preserve">ON Semiconductor</t>
        </is>
      </c>
      <c r="F10" t="inlineStr">
        <is>
          <t xml:space="preserve">MyFootprints:2N7002</t>
        </is>
      </c>
      <c r="G10" t="inlineStr">
        <is>
          <t xml:space="preserve">SOT-23-3</t>
        </is>
      </c>
      <c r="H10" s="2" t="inlineStr">
        <is>
          <t xml:space="preserve">https://www.onsemi.com/pub/Collateral/NDS7002A-D.PDF</t>
        </is>
      </c>
      <c r="I10" s="2" t="inlineStr">
        <is>
          <t xml:space="preserve">https://www.mouser.com/en/ProductDetail/onsemi/2N7002?qs=0dwsXDNhqlz66WJJhrTFjQ%3D%3D</t>
        </is>
      </c>
      <c r="J10" t="inlineStr">
        <is>
          <t xml:space="preserve">MOSFETs</t>
        </is>
      </c>
      <c r="K10"/>
      <c r="L10" t="inlineStr">
        <is>
          <t xml:space="preserve">Details</t>
        </is>
      </c>
      <c r="M10" t="inlineStr">
        <is>
          <t xml:space="preserve">China</t>
        </is>
      </c>
      <c r="N10" t="inlineStr">
        <is>
          <t xml:space="preserve">Mouser</t>
        </is>
      </c>
      <c r="O10" t="inlineStr">
        <is>
          <t xml:space="preserve">512-2N7002</t>
        </is>
      </c>
      <c r="P10" s="3">
        <v>1.09</v>
      </c>
      <c r="Q10" s="3">
        <f>P10*B10</f>
        <v>1.09</v>
      </c>
      <c r="R10">
        <v>525994</v>
      </c>
      <c r="S10" t="inlineStr">
        <is>
          <t xml:space="preserve">Active</t>
        </is>
      </c>
      <c r="T10">
        <v>1</v>
      </c>
      <c r="U10">
        <v>3</v>
      </c>
      <c r="V10" s="3">
        <v>1.09</v>
      </c>
      <c r="W10" s="3">
        <f>V10*U10</f>
        <v>3.27</v>
      </c>
      <c r="X10">
        <v>7.98</v>
      </c>
      <c r="Y10" s="3">
        <f>W10*X10/100</f>
        <v>0.2609</v>
      </c>
      <c r="Z10" s="3">
        <f>W10+Y10</f>
        <v>3.5309</v>
      </c>
    </row>
    <row r="11">
      <c r="A11" t="inlineStr">
        <is>
          <t xml:space="preserve">C1,C34,C35,C36,C37</t>
        </is>
      </c>
      <c r="B11">
        <v>5</v>
      </c>
      <c r="C11" t="inlineStr">
        <is>
          <t xml:space="preserve">10u</t>
        </is>
      </c>
      <c r="D11" t="inlineStr">
        <is>
          <t xml:space="preserve">CC1206MKX5R9BB106</t>
        </is>
      </c>
      <c r="E11" t="inlineStr">
        <is>
          <t xml:space="preserve">YAGEO</t>
        </is>
      </c>
      <c r="F11" t="inlineStr">
        <is>
          <t xml:space="preserve">Capacitor_SMD:C_1206_3216Metric</t>
        </is>
      </c>
      <c r="G11" t="inlineStr">
        <is>
          <t xml:space="preserve">1206</t>
        </is>
      </c>
      <c r="H11" s="2" t="inlineStr">
        <is>
          <t xml:space="preserve">https://www.mouser.com/datasheet/3/508/1/upy-gphc_x5r_4v-to-50v.pdf</t>
        </is>
      </c>
      <c r="I11" s="2" t="inlineStr">
        <is>
          <t xml:space="preserve">https://www.mouser.com/en/ProductDetail/YAGEO/CC1206MKX5R9BB106?qs=W0yvOO0ixfEGA7Mg821gyg%3D%3D</t>
        </is>
      </c>
      <c r="J11" t="inlineStr">
        <is>
          <t xml:space="preserve">capacitor, small US symbol</t>
        </is>
      </c>
      <c r="K11" t="inlineStr">
        <is>
          <t xml:space="preserve">yes</t>
        </is>
      </c>
      <c r="L11" t="inlineStr">
        <is>
          <t xml:space="preserve">Details</t>
        </is>
      </c>
      <c r="M11" t="inlineStr">
        <is>
          <t xml:space="preserve">Taiwan</t>
        </is>
      </c>
      <c r="N11" t="inlineStr">
        <is>
          <t xml:space="preserve">Mouser</t>
        </is>
      </c>
      <c r="O11" t="inlineStr">
        <is>
          <t xml:space="preserve">603-CC1206MKX5R9BB10</t>
        </is>
      </c>
      <c r="P11" s="3">
        <v>0.46</v>
      </c>
      <c r="Q11" s="3">
        <f>P11*B11</f>
        <v>2.3</v>
      </c>
      <c r="R11">
        <v>2431</v>
      </c>
      <c r="S11" t="inlineStr">
        <is>
          <t xml:space="preserve">Active</t>
        </is>
      </c>
      <c r="T11">
        <v>5</v>
      </c>
      <c r="U11">
        <v>15</v>
      </c>
      <c r="V11" s="3">
        <v>0.306</v>
      </c>
      <c r="W11" s="3">
        <f>V11*U11</f>
        <v>4.59</v>
      </c>
      <c r="X11">
        <v>8.04</v>
      </c>
      <c r="Y11" s="3">
        <f>W11*X11/100</f>
        <v>0.369</v>
      </c>
      <c r="Z11" s="3">
        <f>W11+Y11</f>
        <v>4.959</v>
      </c>
    </row>
    <row r="12">
      <c r="A12" t="inlineStr">
        <is>
          <t xml:space="preserve">CHGR1</t>
        </is>
      </c>
      <c r="B12">
        <v>1</v>
      </c>
      <c r="C12" t="inlineStr">
        <is>
          <t xml:space="preserve">BQ24074</t>
        </is>
      </c>
      <c r="D12" t="inlineStr">
        <is>
          <t xml:space="preserve">BQ24074RGTT</t>
        </is>
      </c>
      <c r="E12" t="inlineStr">
        <is>
          <t xml:space="preserve">Texas Instruments</t>
        </is>
      </c>
      <c r="F12" t="inlineStr">
        <is>
          <t xml:space="preserve">Package_DFN_QFN:VQFN-16-1EP_3x3mm_P0.5mm_EP1.6x1.6mm</t>
        </is>
      </c>
      <c r="G12" t="inlineStr">
        <is>
          <t xml:space="preserve">VQFN-16</t>
        </is>
      </c>
      <c r="H12" s="2" t="inlineStr">
        <is>
          <t xml:space="preserve">https://www.ti.com/lit/gpn/bq24075</t>
        </is>
      </c>
      <c r="I12" s="2" t="inlineStr">
        <is>
          <t xml:space="preserve">https://www.mouser.com/en/ProductDetail/Texas-Instruments/BQ24074RGTT?qs=ZV%2Fxhq4oszp0gb4MsbpFYw%3D%3D</t>
        </is>
      </c>
      <c r="J12" t="inlineStr">
        <is>
          <t xml:space="preserve">Battery Management</t>
        </is>
      </c>
      <c r="K12"/>
      <c r="L12" t="inlineStr">
        <is>
          <t xml:space="preserve">Details</t>
        </is>
      </c>
      <c r="M12" t="inlineStr">
        <is>
          <t xml:space="preserve">China</t>
        </is>
      </c>
      <c r="N12" t="inlineStr">
        <is>
          <t xml:space="preserve">Mouser</t>
        </is>
      </c>
      <c r="O12" t="inlineStr">
        <is>
          <t xml:space="preserve">595-BQ24074RGTT</t>
        </is>
      </c>
      <c r="P12" s="3">
        <v>3.19</v>
      </c>
      <c r="Q12" s="3">
        <f>P12*B12</f>
        <v>3.19</v>
      </c>
      <c r="R12">
        <v>1351</v>
      </c>
      <c r="S12" t="inlineStr">
        <is>
          <t xml:space="preserve">Active</t>
        </is>
      </c>
      <c r="T12">
        <v>1</v>
      </c>
      <c r="U12">
        <v>3</v>
      </c>
      <c r="V12" s="3">
        <v>3.19</v>
      </c>
      <c r="W12" s="3">
        <f>V12*U12</f>
        <v>9.57</v>
      </c>
      <c r="X12">
        <v>37.93</v>
      </c>
      <c r="Y12" s="3">
        <f>W12*X12/100</f>
        <v>3.6299</v>
      </c>
      <c r="Z12" s="3">
        <f>W12+Y12</f>
        <v>13.1999</v>
      </c>
    </row>
    <row r="13">
      <c r="A13" t="inlineStr">
        <is>
          <t xml:space="preserve">C42</t>
        </is>
      </c>
      <c r="B13">
        <v>1</v>
      </c>
      <c r="C13" t="inlineStr">
        <is>
          <t xml:space="preserve">75pF</t>
        </is>
      </c>
      <c r="D13" t="inlineStr">
        <is>
          <t xml:space="preserve">GCM1555C1HR75CA16J</t>
        </is>
      </c>
      <c r="E13" t="inlineStr">
        <is>
          <t xml:space="preserve">Murata Electronics</t>
        </is>
      </c>
      <c r="F13" t="inlineStr">
        <is>
          <t xml:space="preserve">Capacitor_SMD:C_0402_1005Metric</t>
        </is>
      </c>
      <c r="G13" t="inlineStr">
        <is>
          <t xml:space="preserve">0402</t>
        </is>
      </c>
      <c r="H13" s="2" t="inlineStr">
        <is>
          <t xml:space="preserve">https://weblib.samsungsem.com/mlcc/mlcc-ec-data-sheet.do?partNumber=CL05C750JB5NNN</t>
        </is>
      </c>
      <c r="I13" s="2" t="inlineStr">
        <is>
          <t xml:space="preserve">https://www.mouser.com/en/ProductDetail/Murata-Electronics/GCM1555C1HR75CA16J?qs=QzBtWTOodeXZZhEWV%2FO7LA%3D%3D</t>
        </is>
      </c>
      <c r="J13" t="inlineStr">
        <is>
          <t xml:space="preserve">capacitor, small US symbol</t>
        </is>
      </c>
      <c r="K13" t="inlineStr">
        <is>
          <t xml:space="preserve">yes</t>
        </is>
      </c>
      <c r="L13" t="inlineStr">
        <is>
          <t xml:space="preserve">Details</t>
        </is>
      </c>
      <c r="M13" t="inlineStr">
        <is>
          <t xml:space="preserve">Japan</t>
        </is>
      </c>
      <c r="N13" t="inlineStr">
        <is>
          <t xml:space="preserve">Mouser</t>
        </is>
      </c>
      <c r="O13" t="inlineStr">
        <is>
          <t xml:space="preserve">81-GCM1555C1HR75CA6J</t>
        </is>
      </c>
      <c r="P13" s="3">
        <v>0.15</v>
      </c>
      <c r="Q13" s="3">
        <f>P13*B13</f>
        <v>0.15</v>
      </c>
      <c r="R13">
        <v>35585</v>
      </c>
      <c r="S13" t="inlineStr">
        <is>
          <t xml:space="preserve">Active</t>
        </is>
      </c>
      <c r="T13">
        <v>1</v>
      </c>
      <c r="U13">
        <v>3</v>
      </c>
      <c r="V13" s="3">
        <v>0.15</v>
      </c>
      <c r="W13" s="3">
        <f>V13*U13</f>
        <v>0.45</v>
      </c>
      <c r="X13">
        <v>0</v>
      </c>
      <c r="Y13" s="3">
        <f>W13*X13/100</f>
        <v>0</v>
      </c>
      <c r="Z13" s="3">
        <f>W13+Y13</f>
        <v>0.45</v>
      </c>
    </row>
    <row r="14">
      <c r="A14" t="inlineStr">
        <is>
          <t xml:space="preserve">R15,R17,R18,R20,R33,R87,R88,R89</t>
        </is>
      </c>
      <c r="B14">
        <v>8</v>
      </c>
      <c r="C14" t="inlineStr">
        <is>
          <t xml:space="preserve">100k</t>
        </is>
      </c>
      <c r="D14" t="inlineStr">
        <is>
          <t xml:space="preserve">560112116004</t>
        </is>
      </c>
      <c r="E14" t="inlineStr">
        <is>
          <t xml:space="preserve">Wurth Elektronik</t>
        </is>
      </c>
      <c r="F14" t="inlineStr">
        <is>
          <t xml:space="preserve">Resistor_SMD:R_0603_1608Metric</t>
        </is>
      </c>
      <c r="G14" t="inlineStr">
        <is>
          <t xml:space="preserve">0603</t>
        </is>
      </c>
      <c r="H14" s="2" t="inlineStr">
        <is>
          <t xml:space="preserve">https://www.we-online.com/components/products/datasheet/560112116004.pdf</t>
        </is>
      </c>
      <c r="I14" s="2" t="inlineStr">
        <is>
          <t xml:space="preserve">https://www.mouser.com/en/ProductDetail/Wurth-Elektronik/560112116004?qs=mELouGlnn3cgLFewMW9j7A%3D%3D</t>
        </is>
      </c>
      <c r="J14" t="inlineStr">
        <is>
          <t xml:space="preserve">Resistor, small symbol</t>
        </is>
      </c>
      <c r="K14" t="inlineStr">
        <is>
          <t xml:space="preserve">yes</t>
        </is>
      </c>
      <c r="L14" t="inlineStr">
        <is>
          <t xml:space="preserve">Details</t>
        </is>
      </c>
      <c r="M14" t="inlineStr">
        <is>
          <t xml:space="preserve">Taiwan</t>
        </is>
      </c>
      <c r="N14" t="inlineStr">
        <is>
          <t xml:space="preserve">Mouser</t>
        </is>
      </c>
      <c r="O14" t="inlineStr">
        <is>
          <t xml:space="preserve">710-560112116004</t>
        </is>
      </c>
      <c r="P14" s="3">
        <v>0.11</v>
      </c>
      <c r="Q14" s="3">
        <f>P14*B14</f>
        <v>0.88</v>
      </c>
      <c r="R14">
        <v>9744</v>
      </c>
      <c r="S14" t="inlineStr">
        <is>
          <t xml:space="preserve">Active</t>
        </is>
      </c>
      <c r="T14">
        <v>8</v>
      </c>
      <c r="U14">
        <v>24</v>
      </c>
      <c r="V14" s="3">
        <v>0.102</v>
      </c>
      <c r="W14" s="3">
        <f>V14*U14</f>
        <v>2.448</v>
      </c>
      <c r="X14">
        <v>0</v>
      </c>
      <c r="Y14" s="3">
        <f>W14*X14/100</f>
        <v>0</v>
      </c>
      <c r="Z14" s="3">
        <f>W14+Y14</f>
        <v>2.448</v>
      </c>
    </row>
    <row r="15">
      <c r="A15" t="inlineStr">
        <is>
          <t xml:space="preserve">C62,C63,C97,C102</t>
        </is>
      </c>
      <c r="B15">
        <v>4</v>
      </c>
      <c r="C15" t="inlineStr">
        <is>
          <t xml:space="preserve">2.2uF</t>
        </is>
      </c>
      <c r="D15" t="inlineStr">
        <is>
          <t xml:space="preserve">CL10A225KO8NNNC</t>
        </is>
      </c>
      <c r="E15" t="inlineStr">
        <is>
          <t xml:space="preserve">Samsung</t>
        </is>
      </c>
      <c r="F15" t="inlineStr">
        <is>
          <t xml:space="preserve">Capacitor_SMD:C_0603_1608Metric</t>
        </is>
      </c>
      <c r="G15" t="inlineStr">
        <is>
          <t xml:space="preserve">0603</t>
        </is>
      </c>
      <c r="H15" s="2" t="inlineStr">
        <is>
          <t xml:space="preserve">https://weblib.samsungsem.com/mlcc/mlcc-ec-data-sheet.do?partNumber=CL10A225KO8NNN</t>
        </is>
      </c>
      <c r="I15" s="2" t="inlineStr">
        <is>
          <t xml:space="preserve">https://www.mouser.com/en/ProductDetail/Samsung-Electro-Mechanics/CL10A225KO8NNNC?qs=hqM3L16%252BxlecoJxUp5hKOw%3D%3D</t>
        </is>
      </c>
      <c r="J15" t="inlineStr">
        <is>
          <t xml:space="preserve">capacitor, small US symbol</t>
        </is>
      </c>
      <c r="K15" t="inlineStr">
        <is>
          <t xml:space="preserve">yes</t>
        </is>
      </c>
      <c r="L15" t="inlineStr">
        <is>
          <t xml:space="preserve">Details</t>
        </is>
      </c>
      <c r="M15" t="inlineStr">
        <is>
          <t xml:space="preserve">Philippines</t>
        </is>
      </c>
      <c r="N15" t="inlineStr">
        <is>
          <t xml:space="preserve">Mouser</t>
        </is>
      </c>
      <c r="O15" t="inlineStr">
        <is>
          <t xml:space="preserve">187-CL10A225KO8NNNC</t>
        </is>
      </c>
      <c r="P15" s="3">
        <v>0.1</v>
      </c>
      <c r="Q15" s="3">
        <f>P15*B15</f>
        <v>0.4</v>
      </c>
      <c r="R15">
        <v>220172</v>
      </c>
      <c r="S15" t="inlineStr">
        <is>
          <t xml:space="preserve">Active</t>
        </is>
      </c>
      <c r="T15">
        <v>4</v>
      </c>
      <c r="U15">
        <v>12</v>
      </c>
      <c r="V15" s="3">
        <v>0.033</v>
      </c>
      <c r="W15" s="3">
        <f>V15*U15</f>
        <v>0.396</v>
      </c>
      <c r="X15">
        <v>8</v>
      </c>
      <c r="Y15" s="3">
        <f>W15*X15/100</f>
        <v>0.0317</v>
      </c>
      <c r="Z15" s="3">
        <f>W15+Y15</f>
        <v>0.4277</v>
      </c>
    </row>
    <row r="16">
      <c r="A16" t="inlineStr">
        <is>
          <t xml:space="preserve">R31</t>
        </is>
      </c>
      <c r="B16">
        <v>1</v>
      </c>
      <c r="C16" t="inlineStr">
        <is>
          <t xml:space="preserve">470</t>
        </is>
      </c>
      <c r="D16" t="inlineStr">
        <is>
          <t xml:space="preserve">CR0603-FX-4700ELF</t>
        </is>
      </c>
      <c r="E16" t="inlineStr">
        <is>
          <t xml:space="preserve">Bourns</t>
        </is>
      </c>
      <c r="F16" t="inlineStr">
        <is>
          <t xml:space="preserve">Resistor_SMD:R_0603_1608Metric</t>
        </is>
      </c>
      <c r="G16" t="inlineStr">
        <is>
          <t xml:space="preserve">0603</t>
        </is>
      </c>
      <c r="H16" s="2" t="inlineStr">
        <is>
          <t xml:space="preserve">https://www.mouser.com/datasheet/3/40/1/cr.pdf</t>
        </is>
      </c>
      <c r="I16" s="2" t="inlineStr">
        <is>
          <t xml:space="preserve">https://www.mouser.com/en/ProductDetail/Bourns/CR0603-FX-4700ELF?qs=CCIlxZRRv7gUHJx8Zn6ZzQ%3D%3D</t>
        </is>
      </c>
      <c r="J16" t="inlineStr">
        <is>
          <t xml:space="preserve">Resistor, small symbol</t>
        </is>
      </c>
      <c r="K16" t="inlineStr">
        <is>
          <t xml:space="preserve">yes</t>
        </is>
      </c>
      <c r="L16" t="inlineStr">
        <is>
          <t xml:space="preserve">Details</t>
        </is>
      </c>
      <c r="M16" t="inlineStr">
        <is>
          <t xml:space="preserve">Taiwan</t>
        </is>
      </c>
      <c r="N16" t="inlineStr">
        <is>
          <t xml:space="preserve">Mouser</t>
        </is>
      </c>
      <c r="O16" t="inlineStr">
        <is>
          <t xml:space="preserve">652-CR0603FX-4700ELF</t>
        </is>
      </c>
      <c r="P16" s="3">
        <v>0.1</v>
      </c>
      <c r="Q16" s="3">
        <f>P16*B16</f>
        <v>0.1</v>
      </c>
      <c r="R16">
        <v>874350</v>
      </c>
      <c r="S16" t="inlineStr">
        <is>
          <t xml:space="preserve">Active</t>
        </is>
      </c>
      <c r="T16">
        <v>1</v>
      </c>
      <c r="U16">
        <v>10</v>
      </c>
      <c r="V16" s="3">
        <v>0.012</v>
      </c>
      <c r="W16" s="3">
        <f>V16*U16</f>
        <v>0.12</v>
      </c>
      <c r="X16">
        <v>0</v>
      </c>
      <c r="Y16" s="3">
        <f>W16*X16/100</f>
        <v>0</v>
      </c>
      <c r="Z16" s="3">
        <f>W16+Y16</f>
        <v>0.12</v>
      </c>
    </row>
    <row r="17">
      <c r="A17" t="inlineStr">
        <is>
          <t xml:space="preserve">DEC1</t>
        </is>
      </c>
      <c r="B17">
        <v>1</v>
      </c>
      <c r="C17" t="inlineStr">
        <is>
          <t xml:space="preserve">74LCV138</t>
        </is>
      </c>
      <c r="D17" t="inlineStr">
        <is>
          <t xml:space="preserve">SN74LVC138AQPWREP</t>
        </is>
      </c>
      <c r="E17" t="inlineStr">
        <is>
          <t xml:space="preserve">Texas Instruments</t>
        </is>
      </c>
      <c r="F17" t="inlineStr">
        <is>
          <t xml:space="preserve">MyFootprints:TSSOP16B_TOS</t>
        </is>
      </c>
      <c r="G17" t="inlineStr">
        <is>
          <t xml:space="preserve">TSSOP-16</t>
        </is>
      </c>
      <c r="H17" s="2" t="inlineStr">
        <is>
          <t xml:space="preserve">https://toshiba.semicon-storage.com/info/docget.jsp?did=15392&amp;prodName=74LCX138FT</t>
        </is>
      </c>
      <c r="I17" s="2" t="inlineStr">
        <is>
          <t xml:space="preserve">https://www.mouser.com/en/ProductDetail/Texas-Instruments/SN74LVC138AQPWREP?qs=7reVrgTiN3aXLinzUDCIoQ%3D%3D</t>
        </is>
      </c>
      <c r="J17" t="inlineStr">
        <is>
          <t xml:space="preserve">Encoders, Decoders, Multiplexers &amp; Demultiplexers</t>
        </is>
      </c>
      <c r="K17"/>
      <c r="L17" t="inlineStr">
        <is>
          <t xml:space="preserve">Details</t>
        </is>
      </c>
      <c r="M17" t="inlineStr">
        <is>
          <t xml:space="preserve">Malaysia</t>
        </is>
      </c>
      <c r="N17" t="inlineStr">
        <is>
          <t xml:space="preserve">Mouser</t>
        </is>
      </c>
      <c r="O17" t="inlineStr">
        <is>
          <t xml:space="preserve">595-N74LVC138AQPWREP</t>
        </is>
      </c>
      <c r="P17" s="3">
        <v>2.73</v>
      </c>
      <c r="Q17" s="3">
        <f>P17*B17</f>
        <v>2.73</v>
      </c>
      <c r="R17">
        <v>1995</v>
      </c>
      <c r="S17" t="inlineStr">
        <is>
          <t xml:space="preserve">Active</t>
        </is>
      </c>
      <c r="T17">
        <v>1</v>
      </c>
      <c r="U17">
        <v>3</v>
      </c>
      <c r="V17" s="3">
        <v>2.73</v>
      </c>
      <c r="W17" s="3">
        <f>V17*U17</f>
        <v>8.19</v>
      </c>
      <c r="X17">
        <v>0</v>
      </c>
      <c r="Y17" s="3">
        <f>W17*X17/100</f>
        <v>0</v>
      </c>
      <c r="Z17" s="3">
        <f>W17+Y17</f>
        <v>8.19</v>
      </c>
    </row>
    <row r="18">
      <c r="A18" t="inlineStr">
        <is>
          <t xml:space="preserve">J1,J2,J3,J4,J5,J6,J7,J8</t>
        </is>
      </c>
      <c r="B18">
        <v>8</v>
      </c>
      <c r="C18" t="inlineStr">
        <is>
          <t xml:space="preserve">Conn_01x08_Pin</t>
        </is>
      </c>
      <c r="D18" t="inlineStr">
        <is>
          <t xml:space="preserve">61300811121</t>
        </is>
      </c>
      <c r="E18" t="inlineStr">
        <is>
          <t xml:space="preserve">Wurth Elektronik</t>
        </is>
      </c>
      <c r="F18" t="inlineStr">
        <is>
          <t xml:space="preserve">Connector_PinHeader_2.54mm:PinHeader_1x08_P2.54mm_Vertical</t>
        </is>
      </c>
      <c r="G18"/>
      <c r="H18" s="2" t="inlineStr">
        <is>
          <t xml:space="preserve">https://www.we-online.com/components/products/datasheet/61300811121.pdf</t>
        </is>
      </c>
      <c r="I18" s="2" t="inlineStr">
        <is>
          <t xml:space="preserve">https://www.mouser.com/en/ProductDetail/Wurth-Elektronik/61300811121?qs=PhR8RmCirEZRdx%252BVlEmRRA%3D%3D</t>
        </is>
      </c>
      <c r="J18" t="inlineStr">
        <is>
          <t xml:space="preserve">Generic connector, single row, 01x08, script generated</t>
        </is>
      </c>
      <c r="K18"/>
      <c r="L18" t="inlineStr">
        <is>
          <t xml:space="preserve">Details</t>
        </is>
      </c>
      <c r="M18" t="inlineStr">
        <is>
          <t xml:space="preserve">Taiwan</t>
        </is>
      </c>
      <c r="N18" t="inlineStr">
        <is>
          <t xml:space="preserve">Mouser</t>
        </is>
      </c>
      <c r="O18" t="inlineStr">
        <is>
          <t xml:space="preserve">710-61300811121</t>
        </is>
      </c>
      <c r="P18" s="3">
        <v>0.39</v>
      </c>
      <c r="Q18" s="3">
        <f>P18*B18</f>
        <v>3.12</v>
      </c>
      <c r="R18">
        <v>21500</v>
      </c>
      <c r="S18" t="inlineStr">
        <is>
          <t xml:space="preserve">Active</t>
        </is>
      </c>
      <c r="T18">
        <v>8</v>
      </c>
      <c r="U18">
        <v>25</v>
      </c>
      <c r="V18" s="3">
        <v>0.28</v>
      </c>
      <c r="W18" s="3">
        <f>V18*U18</f>
        <v>7</v>
      </c>
      <c r="X18">
        <v>0</v>
      </c>
      <c r="Y18" s="3">
        <f>W18*X18/100</f>
        <v>0</v>
      </c>
      <c r="Z18" s="3">
        <f>W18+Y18</f>
        <v>7</v>
      </c>
    </row>
    <row r="19">
      <c r="A19" t="inlineStr">
        <is>
          <t xml:space="preserve">C32,C33</t>
        </is>
      </c>
      <c r="B19">
        <v>2</v>
      </c>
      <c r="C19" t="inlineStr">
        <is>
          <t xml:space="preserve">1000pf</t>
        </is>
      </c>
      <c r="D19" t="inlineStr">
        <is>
          <t xml:space="preserve">CL05B102KB5NNNC</t>
        </is>
      </c>
      <c r="E19" t="inlineStr">
        <is>
          <t xml:space="preserve">Samsung</t>
        </is>
      </c>
      <c r="F19" t="inlineStr">
        <is>
          <t xml:space="preserve">Capacitor_SMD:C_0402_1005Metric</t>
        </is>
      </c>
      <c r="G19" t="inlineStr">
        <is>
          <t xml:space="preserve">0402</t>
        </is>
      </c>
      <c r="H19" s="2" t="inlineStr">
        <is>
          <t xml:space="preserve">https://weblib.samsungsem.com/mlcc/mlcc-ec-data-sheet.do?partNumber=CL05B102KB5NNN</t>
        </is>
      </c>
      <c r="I19" s="2" t="inlineStr">
        <is>
          <t xml:space="preserve">https://www.mouser.com/en/ProductDetail/Samsung-Electro-Mechanics/CL05B102KB5NNNC?qs=349EhDEZ59ruHuges06d1Q%3D%3D</t>
        </is>
      </c>
      <c r="J19" t="inlineStr">
        <is>
          <t xml:space="preserve">capacitor, small US symbol</t>
        </is>
      </c>
      <c r="K19" t="inlineStr">
        <is>
          <t xml:space="preserve">yes</t>
        </is>
      </c>
      <c r="L19" t="inlineStr">
        <is>
          <t xml:space="preserve">Details</t>
        </is>
      </c>
      <c r="M19" t="inlineStr">
        <is>
          <t xml:space="preserve">Philippines</t>
        </is>
      </c>
      <c r="N19" t="inlineStr">
        <is>
          <t xml:space="preserve">Mouser</t>
        </is>
      </c>
      <c r="O19" t="inlineStr">
        <is>
          <t xml:space="preserve">187-CL05B102KB5NNNC</t>
        </is>
      </c>
      <c r="P19" s="3">
        <v>0.1</v>
      </c>
      <c r="Q19" s="3">
        <f>P19*B19</f>
        <v>0.2</v>
      </c>
      <c r="R19">
        <v>600321</v>
      </c>
      <c r="S19" t="inlineStr">
        <is>
          <t xml:space="preserve">Active</t>
        </is>
      </c>
      <c r="T19">
        <v>2</v>
      </c>
      <c r="U19">
        <v>10</v>
      </c>
      <c r="V19" s="3">
        <v>0.015</v>
      </c>
      <c r="W19" s="3">
        <f>V19*U19</f>
        <v>0.15</v>
      </c>
      <c r="X19">
        <v>8</v>
      </c>
      <c r="Y19" s="3">
        <f>W19*X19/100</f>
        <v>0.012</v>
      </c>
      <c r="Z19" s="3">
        <f>W19+Y19</f>
        <v>0.162</v>
      </c>
    </row>
    <row r="20">
      <c r="A20" t="inlineStr">
        <is>
          <t xml:space="preserve">R37</t>
        </is>
      </c>
      <c r="B20">
        <v>1</v>
      </c>
      <c r="C20" t="inlineStr">
        <is>
          <t xml:space="preserve">1.10k</t>
        </is>
      </c>
      <c r="D20" t="inlineStr">
        <is>
          <t xml:space="preserve">ERJ-P03F1101V</t>
        </is>
      </c>
      <c r="E20" t="inlineStr">
        <is>
          <t xml:space="preserve">Panasonic</t>
        </is>
      </c>
      <c r="F20" t="inlineStr">
        <is>
          <t xml:space="preserve">Resistor_SMD:R_0603_1608Metric</t>
        </is>
      </c>
      <c r="G20" t="inlineStr">
        <is>
          <t xml:space="preserve">0603</t>
        </is>
      </c>
      <c r="H20" s="2" t="inlineStr">
        <is>
          <t xml:space="preserve">https://industrial.panasonic.com/cdbs/www-data/pdf/RDO0000/AOA0000C331.pdf</t>
        </is>
      </c>
      <c r="I20" s="2" t="inlineStr">
        <is>
          <t xml:space="preserve">https://www.mouser.com/en/ProductDetail/Panasonic/ERJ-P03F1101V?qs=sGAEpiMZZMtG0KNrPCHnjYpPrk%252BOMd4bdFNd%2Ftqgjvc%3D</t>
        </is>
      </c>
      <c r="J20" t="inlineStr">
        <is>
          <t xml:space="preserve">Resistor, small symbol</t>
        </is>
      </c>
      <c r="K20" t="inlineStr">
        <is>
          <t xml:space="preserve">yes</t>
        </is>
      </c>
      <c r="L20" t="inlineStr">
        <is>
          <t xml:space="preserve">Details</t>
        </is>
      </c>
      <c r="M20" t="inlineStr">
        <is>
          <t xml:space="preserve">Japan</t>
        </is>
      </c>
      <c r="N20" t="inlineStr">
        <is>
          <t xml:space="preserve">Mouser</t>
        </is>
      </c>
      <c r="O20" t="inlineStr">
        <is>
          <t xml:space="preserve">667-ERJ-P03F1101V</t>
        </is>
      </c>
      <c r="P20" s="3">
        <v>0.31</v>
      </c>
      <c r="Q20" s="3">
        <f>P20*B20</f>
        <v>0.31</v>
      </c>
      <c r="R20">
        <v>5616</v>
      </c>
      <c r="S20" t="inlineStr">
        <is>
          <t xml:space="preserve">Active</t>
        </is>
      </c>
      <c r="T20">
        <v>1</v>
      </c>
      <c r="U20">
        <v>3</v>
      </c>
      <c r="V20" s="3">
        <v>0.31</v>
      </c>
      <c r="W20" s="3">
        <f>V20*U20</f>
        <v>0.93</v>
      </c>
      <c r="X20">
        <v>0</v>
      </c>
      <c r="Y20" s="3">
        <f>W20*X20/100</f>
        <v>0</v>
      </c>
      <c r="Z20" s="3">
        <f>W20+Y20</f>
        <v>0.93</v>
      </c>
    </row>
    <row r="21">
      <c r="A21" t="inlineStr">
        <is>
          <t xml:space="preserve">R22</t>
        </is>
      </c>
      <c r="B21">
        <v>1</v>
      </c>
      <c r="C21" t="inlineStr">
        <is>
          <t xml:space="preserve">249k</t>
        </is>
      </c>
      <c r="D21" t="inlineStr">
        <is>
          <t xml:space="preserve">CRCW0603249KFKEC</t>
        </is>
      </c>
      <c r="E21" t="inlineStr">
        <is>
          <t xml:space="preserve">Vishay</t>
        </is>
      </c>
      <c r="F21" t="inlineStr">
        <is>
          <t xml:space="preserve">Resistor_SMD:R_0603_1608Metric</t>
        </is>
      </c>
      <c r="G21" t="inlineStr">
        <is>
          <t xml:space="preserve">0603</t>
        </is>
      </c>
      <c r="H21" s="2" t="inlineStr">
        <is>
          <t xml:space="preserve">https://www.vishay.com/docs/20035/dcrcwe3.pdf</t>
        </is>
      </c>
      <c r="I21" s="2" t="inlineStr">
        <is>
          <t xml:space="preserve">https://www.mouser.com/en/ProductDetail/Vishay/CRCW0603249KFKEC?qs=fV9RsfLZb3Nd4oImm8Ob9w%3D%3D</t>
        </is>
      </c>
      <c r="J21" t="inlineStr">
        <is>
          <t xml:space="preserve">Resistor, small symbol</t>
        </is>
      </c>
      <c r="K21" t="inlineStr">
        <is>
          <t xml:space="preserve">yes</t>
        </is>
      </c>
      <c r="L21" t="inlineStr">
        <is>
          <t xml:space="preserve">Details</t>
        </is>
      </c>
      <c r="M21" t="inlineStr">
        <is>
          <t xml:space="preserve">Israel</t>
        </is>
      </c>
      <c r="N21" t="inlineStr">
        <is>
          <t xml:space="preserve">Mouser</t>
        </is>
      </c>
      <c r="O21" t="inlineStr">
        <is>
          <t xml:space="preserve">71-CRCW0603249KFKEC</t>
        </is>
      </c>
      <c r="P21" s="3">
        <v>0.25</v>
      </c>
      <c r="Q21" s="3">
        <f>P21*B21</f>
        <v>0.25</v>
      </c>
      <c r="R21">
        <v>53712</v>
      </c>
      <c r="S21" t="inlineStr">
        <is>
          <t xml:space="preserve">Active</t>
        </is>
      </c>
      <c r="T21">
        <v>1</v>
      </c>
      <c r="U21">
        <v>10</v>
      </c>
      <c r="V21" s="3">
        <v>0.063</v>
      </c>
      <c r="W21" s="3">
        <f>V21*U21</f>
        <v>0.63</v>
      </c>
      <c r="X21">
        <v>0</v>
      </c>
      <c r="Y21" s="3">
        <f>W21*X21/100</f>
        <v>0</v>
      </c>
      <c r="Z21" s="3">
        <f>W21+Y21</f>
        <v>0.63</v>
      </c>
    </row>
    <row r="22">
      <c r="A22" t="inlineStr">
        <is>
          <t xml:space="preserve">L_BST1</t>
        </is>
      </c>
      <c r="B22">
        <v>1</v>
      </c>
      <c r="C22" t="inlineStr">
        <is>
          <t xml:space="preserve">1uH</t>
        </is>
      </c>
      <c r="D22" t="inlineStr">
        <is>
          <t xml:space="preserve">74438357010</t>
        </is>
      </c>
      <c r="E22" t="inlineStr">
        <is>
          <t xml:space="preserve">Wurth Elektronik</t>
        </is>
      </c>
      <c r="F22" t="inlineStr">
        <is>
          <t xml:space="preserve">Inductor_SMD:L_Wuerth_MAPI-4030</t>
        </is>
      </c>
      <c r="G22"/>
      <c r="H22" s="2" t="inlineStr">
        <is>
          <t xml:space="preserve">https://www.we-online.com/components/products/datasheet/74438357010.pdf</t>
        </is>
      </c>
      <c r="I22" s="2" t="inlineStr">
        <is>
          <t xml:space="preserve">https://www.mouser.com/en/ProductDetail/Wurth-Elektronik/74438357010?qs=AQlKX63v8RstGPuQmrueWg%3D%3D</t>
        </is>
      </c>
      <c r="J22" t="inlineStr">
        <is>
          <t xml:space="preserve">Wurth 74438357010</t>
        </is>
      </c>
      <c r="K22" t="inlineStr">
        <is>
          <t xml:space="preserve">yes</t>
        </is>
      </c>
      <c r="L22" t="inlineStr">
        <is>
          <t xml:space="preserve">Details</t>
        </is>
      </c>
      <c r="M22" t="inlineStr">
        <is>
          <t xml:space="preserve">Korea, Republic of</t>
        </is>
      </c>
      <c r="N22" t="inlineStr">
        <is>
          <t xml:space="preserve">Mouser</t>
        </is>
      </c>
      <c r="O22" t="inlineStr">
        <is>
          <t xml:space="preserve">710-74438357010</t>
        </is>
      </c>
      <c r="P22" s="3">
        <v>1.68</v>
      </c>
      <c r="Q22" s="3">
        <f>P22*B22</f>
        <v>1.68</v>
      </c>
      <c r="R22">
        <v>11702</v>
      </c>
      <c r="S22" t="inlineStr">
        <is>
          <t xml:space="preserve">Active</t>
        </is>
      </c>
      <c r="T22">
        <v>1</v>
      </c>
      <c r="U22">
        <v>3</v>
      </c>
      <c r="V22" s="3">
        <v>1.68</v>
      </c>
      <c r="W22" s="3">
        <f>V22*U22</f>
        <v>5.04</v>
      </c>
      <c r="X22">
        <v>0</v>
      </c>
      <c r="Y22" s="3">
        <f>W22*X22/100</f>
        <v>0</v>
      </c>
      <c r="Z22" s="3">
        <f>W22+Y22</f>
        <v>5.04</v>
      </c>
    </row>
    <row r="23">
      <c r="A23" t="inlineStr">
        <is>
          <t xml:space="preserve">R34</t>
        </is>
      </c>
      <c r="B23">
        <v>1</v>
      </c>
      <c r="C23" t="inlineStr">
        <is>
          <t xml:space="preserve">470k</t>
        </is>
      </c>
      <c r="D23" t="inlineStr">
        <is>
          <t xml:space="preserve">MR06X4703FTL</t>
        </is>
      </c>
      <c r="E23" t="inlineStr">
        <is>
          <t xml:space="preserve">Walsin</t>
        </is>
      </c>
      <c r="F23" t="inlineStr">
        <is>
          <t xml:space="preserve">Resistor_SMD:R_0603_1608Metric</t>
        </is>
      </c>
      <c r="G23" t="inlineStr">
        <is>
          <t xml:space="preserve">0603</t>
        </is>
      </c>
      <c r="H23" s="2" t="inlineStr">
        <is>
          <t xml:space="preserve">https://www.mouser.com/datasheet/3/317/1/ASC_MR.pdf</t>
        </is>
      </c>
      <c r="I23" s="2" t="inlineStr">
        <is>
          <t xml:space="preserve">https://www.mouser.com/en/ProductDetail/Walsin/MR06X4703FTL?qs=GedFDFLaBXHpTipOCmV8gQ%3D%3D</t>
        </is>
      </c>
      <c r="J23" t="inlineStr">
        <is>
          <t xml:space="preserve">Resistor, small symbol</t>
        </is>
      </c>
      <c r="K23" t="inlineStr">
        <is>
          <t xml:space="preserve">yes</t>
        </is>
      </c>
      <c r="L23" t="inlineStr">
        <is>
          <t xml:space="preserve">Details</t>
        </is>
      </c>
      <c r="M23" t="inlineStr">
        <is>
          <t xml:space="preserve">Taiwan</t>
        </is>
      </c>
      <c r="N23" t="inlineStr">
        <is>
          <t xml:space="preserve">Mouser</t>
        </is>
      </c>
      <c r="O23" t="inlineStr">
        <is>
          <t xml:space="preserve">791-MR06X4703FTL</t>
        </is>
      </c>
      <c r="P23" s="3">
        <v>0.13</v>
      </c>
      <c r="Q23" s="3">
        <f>P23*B23</f>
        <v>0.13</v>
      </c>
      <c r="R23">
        <v>70598</v>
      </c>
      <c r="S23" t="inlineStr">
        <is>
          <t xml:space="preserve">Active</t>
        </is>
      </c>
      <c r="T23">
        <v>1</v>
      </c>
      <c r="U23">
        <v>10</v>
      </c>
      <c r="V23" s="3">
        <v>0.033</v>
      </c>
      <c r="W23" s="3">
        <f>V23*U23</f>
        <v>0.33</v>
      </c>
      <c r="X23">
        <v>0</v>
      </c>
      <c r="Y23" s="3">
        <f>W23*X23/100</f>
        <v>0</v>
      </c>
      <c r="Z23" s="3">
        <f>W23+Y23</f>
        <v>0.33</v>
      </c>
    </row>
    <row r="24">
      <c r="A24" t="inlineStr">
        <is>
          <t xml:space="preserve">C11,C23</t>
        </is>
      </c>
      <c r="B24">
        <v>2</v>
      </c>
      <c r="C24" t="inlineStr">
        <is>
          <t xml:space="preserve">10u</t>
        </is>
      </c>
      <c r="D24" t="inlineStr">
        <is>
          <t xml:space="preserve">CC0805MKX5R7BB106</t>
        </is>
      </c>
      <c r="E24" t="inlineStr">
        <is>
          <t xml:space="preserve">YAGEO</t>
        </is>
      </c>
      <c r="F24" t="inlineStr">
        <is>
          <t xml:space="preserve">Capacitor_SMD:C_0805_2012Metric</t>
        </is>
      </c>
      <c r="G24" t="inlineStr">
        <is>
          <t xml:space="preserve">0805</t>
        </is>
      </c>
      <c r="H24" s="2" t="inlineStr">
        <is>
          <t xml:space="preserve">https://www.yageogroup.com/content/datasheet/asset/file/UPY-GPHC_X5R_4V-TO-50V</t>
        </is>
      </c>
      <c r="I24" s="2" t="inlineStr">
        <is>
          <t xml:space="preserve">https://www.mouser.com/en/ProductDetail/YAGEO/CC0805MKX5R7BB106?qs=sGAEpiMZZMsh%252B1woXyUXjzfuHVctiE89c1qCe%2FicWOU%3D</t>
        </is>
      </c>
      <c r="J24" t="inlineStr">
        <is>
          <t xml:space="preserve">capacitor, small US symbol</t>
        </is>
      </c>
      <c r="K24" t="inlineStr">
        <is>
          <t xml:space="preserve">yes</t>
        </is>
      </c>
      <c r="L24" t="inlineStr">
        <is>
          <t xml:space="preserve">Details</t>
        </is>
      </c>
      <c r="M24" t="inlineStr">
        <is>
          <t xml:space="preserve">Taiwan</t>
        </is>
      </c>
      <c r="N24" t="inlineStr">
        <is>
          <t xml:space="preserve">Mouser</t>
        </is>
      </c>
      <c r="O24" t="inlineStr">
        <is>
          <t xml:space="preserve">603-CC805MKX5R7BB106</t>
        </is>
      </c>
      <c r="P24" s="3">
        <v>0.31</v>
      </c>
      <c r="Q24" s="3">
        <f>P24*B24</f>
        <v>0.62</v>
      </c>
      <c r="R24">
        <v>1990</v>
      </c>
      <c r="S24" t="inlineStr">
        <is>
          <t xml:space="preserve">Active</t>
        </is>
      </c>
      <c r="T24">
        <v>2</v>
      </c>
      <c r="U24">
        <v>10</v>
      </c>
      <c r="V24" s="3">
        <v>0.135</v>
      </c>
      <c r="W24" s="3">
        <f>V24*U24</f>
        <v>1.35</v>
      </c>
      <c r="X24">
        <v>10</v>
      </c>
      <c r="Y24" s="3">
        <f>W24*X24/100</f>
        <v>0.135</v>
      </c>
      <c r="Z24" s="3">
        <f>W24+Y24</f>
        <v>1.485</v>
      </c>
    </row>
    <row r="25">
      <c r="A25" t="inlineStr">
        <is>
          <t xml:space="preserve">VTGT_1V1,VTGT_3V1</t>
        </is>
      </c>
      <c r="B25">
        <v>2</v>
      </c>
      <c r="C25" t="inlineStr">
        <is>
          <t xml:space="preserve">TPS22918DBVR</t>
        </is>
      </c>
      <c r="D25" t="inlineStr">
        <is>
          <t xml:space="preserve">TPS22918TDBVRQ1</t>
        </is>
      </c>
      <c r="E25" t="inlineStr">
        <is>
          <t xml:space="preserve">Texas Instruments</t>
        </is>
      </c>
      <c r="F25" t="inlineStr">
        <is>
          <t xml:space="preserve">MyFootprints:SOT95P280X145-6N</t>
        </is>
      </c>
      <c r="G25" t="inlineStr">
        <is>
          <t xml:space="preserve">SOT-23-6</t>
        </is>
      </c>
      <c r="H25" s="2" t="inlineStr">
        <is>
          <t xml:space="preserve">https://www.ti.com/lit/gpn/tps22918-q1</t>
        </is>
      </c>
      <c r="I25" s="2" t="inlineStr">
        <is>
          <t xml:space="preserve">https://www.mouser.com/en/ProductDetail/Texas-Instruments/TPS22918TDBVRQ1?qs=sGAEpiMZZMv0DJfhVcWlK1Yz3z1OExkkjE2ZiqKPcyuhsbfKfPdS3Q%3D%3D</t>
        </is>
      </c>
      <c r="J25" t="inlineStr">
        <is>
          <t xml:space="preserve">Power Switch ICs - Power Distribution</t>
        </is>
      </c>
      <c r="K25"/>
      <c r="L25" t="inlineStr">
        <is>
          <t xml:space="preserve">Details</t>
        </is>
      </c>
      <c r="M25" t="inlineStr">
        <is>
          <t xml:space="preserve">China</t>
        </is>
      </c>
      <c r="N25" t="inlineStr">
        <is>
          <t xml:space="preserve">Mouser</t>
        </is>
      </c>
      <c r="O25" t="inlineStr">
        <is>
          <t xml:space="preserve">595-TPS22918TDBVRQ1</t>
        </is>
      </c>
      <c r="P25" s="3">
        <v>0.76</v>
      </c>
      <c r="Q25" s="3">
        <f>P25*B25</f>
        <v>1.52</v>
      </c>
      <c r="R25">
        <v>10139</v>
      </c>
      <c r="S25" t="inlineStr">
        <is>
          <t xml:space="preserve">Active</t>
        </is>
      </c>
      <c r="T25">
        <v>2</v>
      </c>
      <c r="U25">
        <v>6</v>
      </c>
      <c r="V25" s="3">
        <v>0.76</v>
      </c>
      <c r="W25" s="3">
        <f>V25*U25</f>
        <v>4.56</v>
      </c>
      <c r="X25">
        <v>0</v>
      </c>
      <c r="Y25" s="3">
        <f>W25*X25/100</f>
        <v>0</v>
      </c>
      <c r="Z25" s="3">
        <f>W25+Y25</f>
        <v>4.56</v>
      </c>
    </row>
    <row r="26">
      <c r="A26" t="inlineStr">
        <is>
          <t xml:space="preserve">USB-C1</t>
        </is>
      </c>
      <c r="B26">
        <v>1</v>
      </c>
      <c r="C26" t="inlineStr">
        <is>
          <t xml:space="preserve">USB4105-GF-A</t>
        </is>
      </c>
      <c r="D26" t="inlineStr">
        <is>
          <t xml:space="preserve">USB4105-GF-A</t>
        </is>
      </c>
      <c r="E26" t="inlineStr">
        <is>
          <t xml:space="preserve">GCT</t>
        </is>
      </c>
      <c r="F26" t="inlineStr">
        <is>
          <t xml:space="preserve">MyFootprints:GCT_USB4105-GF-A</t>
        </is>
      </c>
      <c r="G26" t="inlineStr">
        <is>
          <t xml:space="preserve">Top-Mount</t>
        </is>
      </c>
      <c r="H26" s="2" t="inlineStr">
        <is>
          <t xml:space="preserve">https://www.mouser.com/catalog/specsheets/Global_Connector_Technology_usb4105.pdf</t>
        </is>
      </c>
      <c r="I26" s="2" t="inlineStr">
        <is>
          <t xml:space="preserve">https://www.mouser.com/en/ProductDetail/GCT/USB4105-GF-A?qs=KUoIvG%2F9IlY%2FMLlBMpStpA%3D%3D</t>
        </is>
      </c>
      <c r="J26" t="inlineStr">
        <is>
          <t xml:space="preserve">USB4105-GF-A GCT USB Connectors USB Type C,2.0, Rec,SMT, 0.95mmTH Shell Stakes,G/F,RA,Top Mnt,T&amp;R datasheet, inventory, &amp; pricing.</t>
        </is>
      </c>
      <c r="K26"/>
      <c r="L26" t="inlineStr">
        <is>
          <t xml:space="preserve">Details</t>
        </is>
      </c>
      <c r="M26" t="inlineStr">
        <is>
          <t xml:space="preserve">China</t>
        </is>
      </c>
      <c r="N26" t="inlineStr">
        <is>
          <t xml:space="preserve">Mouser</t>
        </is>
      </c>
      <c r="O26" t="inlineStr">
        <is>
          <t xml:space="preserve">640-USB4105-GF-A</t>
        </is>
      </c>
      <c r="P26" s="3">
        <v>0.93</v>
      </c>
      <c r="Q26" s="3">
        <f>P26*B26</f>
        <v>0.93</v>
      </c>
      <c r="R26">
        <v>481266</v>
      </c>
      <c r="S26" t="inlineStr">
        <is>
          <t xml:space="preserve">Active</t>
        </is>
      </c>
      <c r="T26">
        <v>1</v>
      </c>
      <c r="U26">
        <v>3</v>
      </c>
      <c r="V26" s="3">
        <v>0.93</v>
      </c>
      <c r="W26" s="3">
        <f>V26*U26</f>
        <v>2.79</v>
      </c>
      <c r="X26">
        <v>30</v>
      </c>
      <c r="Y26" s="3">
        <f>W26*X26/100</f>
        <v>0.837</v>
      </c>
      <c r="Z26" s="3">
        <f>W26+Y26</f>
        <v>3.627</v>
      </c>
    </row>
    <row r="27">
      <c r="A27" t="inlineStr">
        <is>
          <t xml:space="preserve">C4,C6,C14,C16,C45,C46,C47,C48</t>
        </is>
      </c>
      <c r="B27">
        <v>8</v>
      </c>
      <c r="C27" t="inlineStr">
        <is>
          <t xml:space="preserve">22uF</t>
        </is>
      </c>
      <c r="D27" t="inlineStr">
        <is>
          <t xml:space="preserve">CL31A226MAHNNNE</t>
        </is>
      </c>
      <c r="E27" t="inlineStr">
        <is>
          <t xml:space="preserve">Samsung</t>
        </is>
      </c>
      <c r="F27" t="inlineStr">
        <is>
          <t xml:space="preserve">Capacitor_SMD:C_1206_3216Metric</t>
        </is>
      </c>
      <c r="G27" t="inlineStr">
        <is>
          <t xml:space="preserve">1206</t>
        </is>
      </c>
      <c r="H27" s="2" t="inlineStr">
        <is>
          <t xml:space="preserve">https://weblib.samsungsem.com/mlcc/mlcc-ec-data-sheet.do?partNumber=CL31A226KAHNNN</t>
        </is>
      </c>
      <c r="I27" s="2" t="inlineStr">
        <is>
          <t xml:space="preserve">https://www.mouser.com/en/ProductDetail/Samsung-Electro-Mechanics/CL31A226MAHNNNE?qs=xZ%2FP%252Ba9zWqY8YGNZEyQ08w%3D%3D</t>
        </is>
      </c>
      <c r="J27" t="inlineStr">
        <is>
          <t xml:space="preserve">capacitor, small US symbol</t>
        </is>
      </c>
      <c r="K27" t="inlineStr">
        <is>
          <t xml:space="preserve">yes</t>
        </is>
      </c>
      <c r="L27" t="inlineStr">
        <is>
          <t xml:space="preserve">Details</t>
        </is>
      </c>
      <c r="M27" t="inlineStr">
        <is>
          <t xml:space="preserve">Philippines</t>
        </is>
      </c>
      <c r="N27" t="inlineStr">
        <is>
          <t xml:space="preserve">Mouser</t>
        </is>
      </c>
      <c r="O27" t="inlineStr">
        <is>
          <t xml:space="preserve">187-CL31A226MAHNNNE</t>
        </is>
      </c>
      <c r="P27" s="3">
        <v>0.65</v>
      </c>
      <c r="Q27" s="3">
        <f>P27*B27</f>
        <v>5.2</v>
      </c>
      <c r="R27">
        <v>12611</v>
      </c>
      <c r="S27" t="inlineStr">
        <is>
          <t xml:space="preserve">Active</t>
        </is>
      </c>
      <c r="T27">
        <v>8</v>
      </c>
      <c r="U27">
        <v>24</v>
      </c>
      <c r="V27" s="3">
        <v>0.431</v>
      </c>
      <c r="W27" s="3">
        <f>V27*U27</f>
        <v>10.344</v>
      </c>
      <c r="X27">
        <v>8</v>
      </c>
      <c r="Y27" s="3">
        <f>W27*X27/100</f>
        <v>0.8275</v>
      </c>
      <c r="Z27" s="3">
        <f>W27+Y27</f>
        <v>11.1715</v>
      </c>
    </row>
    <row r="28">
      <c r="A28" t="inlineStr">
        <is>
          <t xml:space="preserve">R3,R8,R9,R14,R19,R38,R39,R40,R41,R42,R46,R50,R51,R52,R53,R54,R64,R66,R67,R68,R70,R71,R72,R73,R74,R75,R76,R79,R80,R81,R83,R84,R86,R90</t>
        </is>
      </c>
      <c r="B28">
        <v>34</v>
      </c>
      <c r="C28" t="inlineStr">
        <is>
          <t xml:space="preserve">10k</t>
        </is>
      </c>
      <c r="D28" t="inlineStr">
        <is>
          <t xml:space="preserve">ERJ-S03F1002V</t>
        </is>
      </c>
      <c r="E28" t="inlineStr">
        <is>
          <t xml:space="preserve">Panasonic</t>
        </is>
      </c>
      <c r="F28" t="inlineStr">
        <is>
          <t xml:space="preserve">Resistor_SMD:R_0603_1608Metric</t>
        </is>
      </c>
      <c r="G28" t="inlineStr">
        <is>
          <t xml:space="preserve">0603</t>
        </is>
      </c>
      <c r="H28" s="2" t="inlineStr">
        <is>
          <t xml:space="preserve">https://industrial.panasonic.com/cdbs/www-data/pdf/RDP0000/AOA0000C334.pdf</t>
        </is>
      </c>
      <c r="I28" s="2" t="inlineStr">
        <is>
          <t xml:space="preserve">https://www.mouser.com/en/ProductDetail/Panasonic/ERJ-S03F1002V?qs=Zyl8A9hlmJoZiGA1sKtMzw%3D%3D</t>
        </is>
      </c>
      <c r="J28" t="inlineStr">
        <is>
          <t xml:space="preserve">Resistor</t>
        </is>
      </c>
      <c r="K28" t="inlineStr">
        <is>
          <t xml:space="preserve">yes</t>
        </is>
      </c>
      <c r="L28" t="inlineStr">
        <is>
          <t xml:space="preserve">Details</t>
        </is>
      </c>
      <c r="M28" t="inlineStr">
        <is>
          <t xml:space="preserve">Japan</t>
        </is>
      </c>
      <c r="N28" t="inlineStr">
        <is>
          <t xml:space="preserve">Mouser</t>
        </is>
      </c>
      <c r="O28" t="inlineStr">
        <is>
          <t xml:space="preserve">667-ERJ-S03F1002V</t>
        </is>
      </c>
      <c r="P28" s="3">
        <v>0.23</v>
      </c>
      <c r="Q28" s="3">
        <f>P28*B28</f>
        <v>7.82</v>
      </c>
      <c r="R28">
        <v>58274</v>
      </c>
      <c r="S28" t="inlineStr">
        <is>
          <t xml:space="preserve">Active</t>
        </is>
      </c>
      <c r="T28">
        <v>34</v>
      </c>
      <c r="U28">
        <v>102</v>
      </c>
      <c r="V28" s="3">
        <v>0.072</v>
      </c>
      <c r="W28" s="3">
        <f>V28*U28</f>
        <v>7.344</v>
      </c>
      <c r="X28">
        <v>0</v>
      </c>
      <c r="Y28" s="3">
        <f>W28*X28/100</f>
        <v>0</v>
      </c>
      <c r="Z28" s="3">
        <f>W28+Y28</f>
        <v>7.344</v>
      </c>
    </row>
    <row r="29">
      <c r="A29" t="inlineStr">
        <is>
          <t xml:space="preserve">L_BK1</t>
        </is>
      </c>
      <c r="B29">
        <v>1</v>
      </c>
      <c r="C29" t="inlineStr">
        <is>
          <t xml:space="preserve">6.8u WE-XHMI_6060</t>
        </is>
      </c>
      <c r="D29" t="inlineStr">
        <is>
          <t xml:space="preserve">74439346068</t>
        </is>
      </c>
      <c r="E29" t="inlineStr">
        <is>
          <t xml:space="preserve">Wurth Elektronik</t>
        </is>
      </c>
      <c r="F29" t="inlineStr">
        <is>
          <t xml:space="preserve">Inductor_SMD:L_Wuerth_XHMI-6060</t>
        </is>
      </c>
      <c r="G29"/>
      <c r="H29" s="2" t="inlineStr">
        <is>
          <t xml:space="preserve">https://www.we-online.com/components/products/datasheet/74439346068.pdf</t>
        </is>
      </c>
      <c r="I29" s="2" t="inlineStr">
        <is>
          <t xml:space="preserve">https://www.mouser.com/en/ProductDetail/Wurth-Elektronik/74439346068?qs=NSAOzM2zc%2FVj5BeHYKNgfQ%3D%3D</t>
        </is>
      </c>
      <c r="J29" t="inlineStr">
        <is>
          <t xml:space="preserve">Power Inductors - SMD</t>
        </is>
      </c>
      <c r="K29" t="inlineStr">
        <is>
          <t xml:space="preserve">yes</t>
        </is>
      </c>
      <c r="L29" t="inlineStr">
        <is>
          <t xml:space="preserve">Details</t>
        </is>
      </c>
      <c r="M29" t="inlineStr">
        <is>
          <t xml:space="preserve">China</t>
        </is>
      </c>
      <c r="N29" t="inlineStr">
        <is>
          <t xml:space="preserve">Mouser</t>
        </is>
      </c>
      <c r="O29" t="inlineStr">
        <is>
          <t xml:space="preserve">710-74439346068</t>
        </is>
      </c>
      <c r="P29" s="3">
        <v>4.05</v>
      </c>
      <c r="Q29" s="3">
        <f>P29*B29</f>
        <v>4.05</v>
      </c>
      <c r="R29">
        <v>6579</v>
      </c>
      <c r="S29" t="inlineStr">
        <is>
          <t xml:space="preserve">Active</t>
        </is>
      </c>
      <c r="T29">
        <v>1</v>
      </c>
      <c r="U29">
        <v>3</v>
      </c>
      <c r="V29" s="3">
        <v>4.05</v>
      </c>
      <c r="W29" s="3">
        <f>V29*U29</f>
        <v>12.15</v>
      </c>
      <c r="X29">
        <v>35.06</v>
      </c>
      <c r="Y29" s="3">
        <f>W29*X29/100</f>
        <v>4.2598</v>
      </c>
      <c r="Z29" s="3">
        <f>W29+Y29</f>
        <v>16.4098</v>
      </c>
    </row>
    <row r="30">
      <c r="A30" t="inlineStr">
        <is>
          <t xml:space="preserve">R55</t>
        </is>
      </c>
      <c r="B30">
        <v>1</v>
      </c>
      <c r="C30" t="inlineStr">
        <is>
          <t xml:space="preserve">47</t>
        </is>
      </c>
      <c r="D30" t="inlineStr">
        <is>
          <t xml:space="preserve">MR06X47R0FTL</t>
        </is>
      </c>
      <c r="E30" t="inlineStr">
        <is>
          <t xml:space="preserve">Walsin</t>
        </is>
      </c>
      <c r="F30" t="inlineStr">
        <is>
          <t xml:space="preserve">Resistor_SMD:R_0603_1608Metric</t>
        </is>
      </c>
      <c r="G30" t="inlineStr">
        <is>
          <t xml:space="preserve">0603</t>
        </is>
      </c>
      <c r="H30" s="2" t="inlineStr">
        <is>
          <t xml:space="preserve">https://www.mouser.com/datasheet/3/317/1/ASC_MR.pdf</t>
        </is>
      </c>
      <c r="I30" s="2" t="inlineStr">
        <is>
          <t xml:space="preserve">https://www.mouser.com/en/ProductDetail/Walsin/MR06X47R0FTL?qs=GedFDFLaBXGoJo8MM4e47Q%3D%3D</t>
        </is>
      </c>
      <c r="J30" t="inlineStr">
        <is>
          <t xml:space="preserve">Resistor</t>
        </is>
      </c>
      <c r="K30" t="inlineStr">
        <is>
          <t xml:space="preserve">yes</t>
        </is>
      </c>
      <c r="L30" t="inlineStr">
        <is>
          <t xml:space="preserve">Details</t>
        </is>
      </c>
      <c r="M30" t="inlineStr">
        <is>
          <t xml:space="preserve">Taiwan</t>
        </is>
      </c>
      <c r="N30" t="inlineStr">
        <is>
          <t xml:space="preserve">Mouser</t>
        </is>
      </c>
      <c r="O30" t="inlineStr">
        <is>
          <t xml:space="preserve">791-MR06X47R0FTL</t>
        </is>
      </c>
      <c r="P30" s="3">
        <v>0.13</v>
      </c>
      <c r="Q30" s="3">
        <f>P30*B30</f>
        <v>0.13</v>
      </c>
      <c r="R30">
        <v>49137</v>
      </c>
      <c r="S30" t="inlineStr">
        <is>
          <t xml:space="preserve">Active</t>
        </is>
      </c>
      <c r="T30">
        <v>1</v>
      </c>
      <c r="U30">
        <v>10</v>
      </c>
      <c r="V30" s="3">
        <v>0.033</v>
      </c>
      <c r="W30" s="3">
        <f>V30*U30</f>
        <v>0.33</v>
      </c>
      <c r="X30">
        <v>0</v>
      </c>
      <c r="Y30" s="3">
        <f>W30*X30/100</f>
        <v>0</v>
      </c>
      <c r="Z30" s="3">
        <f>W30+Y30</f>
        <v>0.33</v>
      </c>
    </row>
    <row r="31">
      <c r="A31" t="inlineStr">
        <is>
          <t xml:space="preserve">BOOST1</t>
        </is>
      </c>
      <c r="B31">
        <v>1</v>
      </c>
      <c r="C31" t="inlineStr">
        <is>
          <t xml:space="preserve">TPS61023</t>
        </is>
      </c>
      <c r="D31" t="inlineStr">
        <is>
          <t xml:space="preserve">TPS61023DRLT</t>
        </is>
      </c>
      <c r="E31" t="inlineStr">
        <is>
          <t xml:space="preserve">Texas Instruments</t>
        </is>
      </c>
      <c r="F31" t="inlineStr">
        <is>
          <t xml:space="preserve">Package_TO_SOT_SMD:SOT-563</t>
        </is>
      </c>
      <c r="G31" t="inlineStr">
        <is>
          <t xml:space="preserve">SOT-563-6</t>
        </is>
      </c>
      <c r="H31" s="2" t="inlineStr">
        <is>
          <t xml:space="preserve">http://www.ti.com/general/docs/suppproductinfo.tsp?distId=10&amp;gotoUrl=http%3A%2F%2Fwww.ti.com%2Flit%2Fgpn%2Ftps61023</t>
        </is>
      </c>
      <c r="I31" s="2" t="inlineStr">
        <is>
          <t xml:space="preserve">https://www.mouser.com/en/ProductDetail/Texas-Instruments/TPS61023DRLT?qs=BJlw7L4Cy78Zr3IJIU3gNw%3D%3D</t>
        </is>
      </c>
      <c r="J31" t="inlineStr">
        <is>
          <t xml:space="preserve">Switching Voltage Regulators 3-A boost converter with 0.5-V ultra-low input voltage 6-SOT-5X3 -40 to 125</t>
        </is>
      </c>
      <c r="K31"/>
      <c r="L31" t="inlineStr">
        <is>
          <t xml:space="preserve">Details</t>
        </is>
      </c>
      <c r="M31" t="inlineStr">
        <is>
          <t xml:space="preserve">Philippines</t>
        </is>
      </c>
      <c r="N31" t="inlineStr">
        <is>
          <t xml:space="preserve">Mouser</t>
        </is>
      </c>
      <c r="O31" t="inlineStr">
        <is>
          <t xml:space="preserve">595-TPS61023DRLT</t>
        </is>
      </c>
      <c r="P31" s="3">
        <v>1.43</v>
      </c>
      <c r="Q31" s="3">
        <f>P31*B31</f>
        <v>1.43</v>
      </c>
      <c r="R31">
        <v>47090</v>
      </c>
      <c r="S31" t="inlineStr">
        <is>
          <t xml:space="preserve">Active</t>
        </is>
      </c>
      <c r="T31">
        <v>1</v>
      </c>
      <c r="U31">
        <v>3</v>
      </c>
      <c r="V31" s="3">
        <v>1.43</v>
      </c>
      <c r="W31" s="3">
        <f>V31*U31</f>
        <v>4.29</v>
      </c>
      <c r="X31">
        <v>0</v>
      </c>
      <c r="Y31" s="3">
        <f>W31*X31/100</f>
        <v>0</v>
      </c>
      <c r="Z31" s="3">
        <f>W31+Y31</f>
        <v>4.29</v>
      </c>
    </row>
    <row r="32">
      <c r="A32" t="inlineStr">
        <is>
          <t xml:space="preserve">J_SOCKET_64_1</t>
        </is>
      </c>
      <c r="B32">
        <v>1</v>
      </c>
      <c r="C32" t="inlineStr">
        <is>
          <t xml:space="preserve">IC51-0644-807</t>
        </is>
      </c>
      <c r="D32" t="inlineStr">
        <is>
          <t xml:space="preserve">IC51-0644-807</t>
        </is>
      </c>
      <c r="E32" t="inlineStr">
        <is>
          <t xml:space="preserve">Yamaichi Electronics</t>
        </is>
      </c>
      <c r="F32" t="inlineStr">
        <is>
          <t xml:space="preserve">MyFootprints:YAMAICHI_IC51-0644-807</t>
        </is>
      </c>
      <c r="G32"/>
      <c r="H32" s="2" t="inlineStr">
        <is>
          <t xml:space="preserve">https://www.mouser.com/catalog/specsheets/Yamaichi%20Electronics_08162018_IC51-0644-807_H.pdf</t>
        </is>
      </c>
      <c r="I32" s="2" t="inlineStr">
        <is>
          <t xml:space="preserve">https://www.mouser.com/en/ProductDetail/Yamaichi-Electronics/IC51-0644-807?qs=nO3wRANIIvmhhPuENfC7rw%3D%3D</t>
        </is>
      </c>
      <c r="J32" t="inlineStr">
        <is>
          <t xml:space="preserve">IC &amp; Component Sockets</t>
        </is>
      </c>
      <c r="K32"/>
      <c r="L32" t="inlineStr">
        <is>
          <t xml:space="preserve">Details</t>
        </is>
      </c>
      <c r="M32" t="inlineStr">
        <is>
          <t xml:space="preserve">Philippines</t>
        </is>
      </c>
      <c r="N32" t="inlineStr">
        <is>
          <t xml:space="preserve">Mouser</t>
        </is>
      </c>
      <c r="O32" t="inlineStr">
        <is>
          <t xml:space="preserve">945-IC51-0644-807</t>
        </is>
      </c>
      <c r="P32" s="3">
        <v>126.53</v>
      </c>
      <c r="Q32" s="3">
        <f>P32*B32</f>
        <v>126.53</v>
      </c>
      <c r="R32">
        <v>9</v>
      </c>
      <c r="S32" t="inlineStr">
        <is>
          <t xml:space="preserve">Active</t>
        </is>
      </c>
      <c r="T32">
        <v>1</v>
      </c>
      <c r="U32">
        <v>3</v>
      </c>
      <c r="V32" s="3">
        <v>126.53</v>
      </c>
      <c r="W32" s="3">
        <f>V32*U32</f>
        <v>379.59</v>
      </c>
      <c r="X32">
        <v>8</v>
      </c>
      <c r="Y32" s="3">
        <f>W32*X32/100</f>
        <v>30.3672</v>
      </c>
      <c r="Z32" s="3">
        <f>W32+Y32</f>
        <v>409.9572</v>
      </c>
    </row>
    <row r="33">
      <c r="A33" t="inlineStr">
        <is>
          <t xml:space="preserve">D1,D2,D3,D4,D5</t>
        </is>
      </c>
      <c r="B33">
        <v>5</v>
      </c>
      <c r="C33" t="inlineStr">
        <is>
          <t xml:space="preserve">ESD9X5.0ST5G</t>
        </is>
      </c>
      <c r="D33" t="inlineStr">
        <is>
          <t xml:space="preserve">ESD9X5.0ST5G</t>
        </is>
      </c>
      <c r="E33" t="inlineStr">
        <is>
          <t xml:space="preserve">onsemi</t>
        </is>
      </c>
      <c r="F33" t="inlineStr">
        <is>
          <t xml:space="preserve">Diode_SMD:D_SOD-923</t>
        </is>
      </c>
      <c r="G33" t="inlineStr">
        <is>
          <t xml:space="preserve">SOD-923-2</t>
        </is>
      </c>
      <c r="H33" s="2" t="inlineStr">
        <is>
          <t xml:space="preserve">https://assets.nexperia.com/documents/data-sheet/PTVS5V0Z1USK.pdf</t>
        </is>
      </c>
      <c r="I33" s="2" t="inlineStr">
        <is>
          <t xml:space="preserve">https://www.mouser.com/en/ProductDetail/onsemi/ESD9X5.0ST5G?qs=OSf9jACorvbLo4%2Fn72DVLA%3D%3D</t>
        </is>
      </c>
      <c r="J33" t="inlineStr">
        <is>
          <t xml:space="preserve">5V, 1200W TVS unidirectional diode, DSN1608-2</t>
        </is>
      </c>
      <c r="K33"/>
      <c r="L33" t="inlineStr">
        <is>
          <t xml:space="preserve">Details</t>
        </is>
      </c>
      <c r="M33" t="inlineStr">
        <is>
          <t xml:space="preserve">China</t>
        </is>
      </c>
      <c r="N33" t="inlineStr">
        <is>
          <t xml:space="preserve">Mouser</t>
        </is>
      </c>
      <c r="O33" t="inlineStr">
        <is>
          <t xml:space="preserve">863-ESD9X5.0ST5G</t>
        </is>
      </c>
      <c r="P33" s="3">
        <v>0.16</v>
      </c>
      <c r="Q33" s="3">
        <f>P33*B33</f>
        <v>0.8</v>
      </c>
      <c r="R33">
        <v>64322</v>
      </c>
      <c r="S33" t="inlineStr">
        <is>
          <t xml:space="preserve">Active</t>
        </is>
      </c>
      <c r="T33">
        <v>5</v>
      </c>
      <c r="U33">
        <v>15</v>
      </c>
      <c r="V33" s="3">
        <v>0.101</v>
      </c>
      <c r="W33" s="3">
        <f>V33*U33</f>
        <v>1.515</v>
      </c>
      <c r="X33">
        <v>0</v>
      </c>
      <c r="Y33" s="3">
        <f>W33*X33/100</f>
        <v>0</v>
      </c>
      <c r="Z33" s="3">
        <f>W33+Y33</f>
        <v>1.515</v>
      </c>
    </row>
    <row r="34">
      <c r="A34" t="inlineStr">
        <is>
          <t xml:space="preserve">SW_BOOT1</t>
        </is>
      </c>
      <c r="B34">
        <v>1</v>
      </c>
      <c r="C34" t="inlineStr">
        <is>
          <t xml:space="preserve">EG1218</t>
        </is>
      </c>
      <c r="D34" t="inlineStr">
        <is>
          <t xml:space="preserve">EG1218</t>
        </is>
      </c>
      <c r="E34" t="inlineStr">
        <is>
          <t xml:space="preserve">E-Switch</t>
        </is>
      </c>
      <c r="F34" t="inlineStr">
        <is>
          <t xml:space="preserve">MyFootprints:SW_EG1218</t>
        </is>
      </c>
      <c r="G34"/>
      <c r="H34" t="inlineStr">
        <is>
          <t xml:space="preserve">EG1218</t>
        </is>
      </c>
      <c r="I34" s="2" t="inlineStr">
        <is>
          <t xml:space="preserve">https://www.mouser.com/en/ProductDetail/E-Switch/EG1218?qs=xDsBkp9LkocT0c8K%252B5e%2FgA%3D%3D</t>
        </is>
      </c>
      <c r="J34" t="inlineStr">
        <is>
          <t xml:space="preserve">Slide Switches</t>
        </is>
      </c>
      <c r="K34"/>
      <c r="L34" t="inlineStr">
        <is>
          <t xml:space="preserve">Details</t>
        </is>
      </c>
      <c r="M34" t="inlineStr">
        <is>
          <t xml:space="preserve">China</t>
        </is>
      </c>
      <c r="N34" t="inlineStr">
        <is>
          <t xml:space="preserve">Mouser</t>
        </is>
      </c>
      <c r="O34" t="inlineStr">
        <is>
          <t xml:space="preserve">612-EG1218</t>
        </is>
      </c>
      <c r="P34" s="3">
        <v>0.71</v>
      </c>
      <c r="Q34" s="3">
        <f>P34*B34</f>
        <v>0.71</v>
      </c>
      <c r="R34">
        <v>12328</v>
      </c>
      <c r="S34" t="inlineStr">
        <is>
          <t xml:space="preserve">Active</t>
        </is>
      </c>
      <c r="T34">
        <v>1</v>
      </c>
      <c r="U34">
        <v>3</v>
      </c>
      <c r="V34" s="3">
        <v>0.71</v>
      </c>
      <c r="W34" s="3">
        <f>V34*U34</f>
        <v>2.13</v>
      </c>
      <c r="X34">
        <v>30</v>
      </c>
      <c r="Y34" s="3">
        <f>W34*X34/100</f>
        <v>0.639</v>
      </c>
      <c r="Z34" s="3">
        <f>W34+Y34</f>
        <v>2.769</v>
      </c>
    </row>
    <row r="35">
      <c r="A35" t="inlineStr">
        <is>
          <t xml:space="preserve">LCD1</t>
        </is>
      </c>
      <c r="B35">
        <v>1</v>
      </c>
      <c r="C35" t="inlineStr">
        <is>
          <t xml:space="preserve">358</t>
        </is>
      </c>
      <c r="D35" t="inlineStr">
        <is>
          <t xml:space="preserve">358</t>
        </is>
      </c>
      <c r="E35" t="inlineStr">
        <is>
          <t xml:space="preserve">Adafruit Industries</t>
        </is>
      </c>
      <c r="F35" t="inlineStr">
        <is>
          <t xml:space="preserve">Connector_PinSocket_2.54mm:PinSocket_1x10_P2.54mm_Vertical</t>
        </is>
      </c>
      <c r="G35"/>
      <c r="H35" s="2" t="inlineStr">
        <is>
          <t xml:space="preserve">https://cdn-shop.adafruit.com/datasheets/ST7735R_V0.2.pdf</t>
        </is>
      </c>
      <c r="I35" s="2" t="inlineStr">
        <is>
          <t xml:space="preserve">https://www.digikey.com/en/products/detail/adafruit-industries-llc/358/5801368</t>
        </is>
      </c>
      <c r="J35" t="inlineStr">
        <is>
          <t xml:space="preserve">358</t>
        </is>
      </c>
      <c r="K35"/>
      <c r="L35" t="inlineStr">
        <is>
          <t xml:space="preserve">Details</t>
        </is>
      </c>
      <c r="M35"/>
      <c r="N35" t="inlineStr">
        <is>
          <t xml:space="preserve">DigiKey</t>
        </is>
      </c>
      <c r="O35" t="inlineStr">
        <is>
          <t xml:space="preserve">517-358</t>
        </is>
      </c>
      <c r="P35" s="3">
        <v>19.95</v>
      </c>
      <c r="Q35" s="3">
        <f>P35*B35</f>
        <v>19.95</v>
      </c>
      <c r="R35"/>
      <c r="S35" t="inlineStr">
        <is>
          <t xml:space="preserve">Active</t>
        </is>
      </c>
      <c r="T35">
        <v>1</v>
      </c>
      <c r="U35">
        <v>3</v>
      </c>
      <c r="V35" s="3">
        <v>19.95</v>
      </c>
      <c r="W35" s="3">
        <f>V35*U35</f>
        <v>59.85</v>
      </c>
      <c r="X35"/>
      <c r="Y35" s="3">
        <v>0</v>
      </c>
      <c r="Z35" s="3">
        <f>W35+Y35</f>
        <v>59.85</v>
      </c>
    </row>
    <row r="36">
      <c r="A36" t="inlineStr">
        <is>
          <t xml:space="preserve">J_CARDX_L_1</t>
        </is>
      </c>
      <c r="B36">
        <v>2</v>
      </c>
      <c r="C36" t="inlineStr">
        <is>
          <t xml:space="preserve">QSH-060-01-X-D-A</t>
        </is>
      </c>
      <c r="D36" t="inlineStr">
        <is>
          <t xml:space="preserve">QSH-060-01-H-D-A</t>
        </is>
      </c>
      <c r="E36" t="inlineStr">
        <is>
          <t xml:space="preserve">Samtec</t>
        </is>
      </c>
      <c r="F36" t="inlineStr">
        <is>
          <t xml:space="preserve">MyFootprints:SAMTEC_QSH-060-01-X-D-A</t>
        </is>
      </c>
      <c r="G36"/>
      <c r="H36" s="2" t="inlineStr">
        <is>
          <t xml:space="preserve">https://www.mouser.com/datasheet/3/85/1/qsh.pdf</t>
        </is>
      </c>
      <c r="I36" s="2" t="inlineStr">
        <is>
          <t xml:space="preserve">https://www.mouser.com/en/ProductDetail/Samtec/QSH-060-01-H-D-A?qs=rU5fayqh%252BE34oibMPSfe5w%3D%3D</t>
        </is>
      </c>
      <c r="J36" t="inlineStr">
        <is>
          <t xml:space="preserve">Board to Board &amp; Mezzanine Connectors</t>
        </is>
      </c>
      <c r="K36"/>
      <c r="L36" t="inlineStr">
        <is>
          <t xml:space="preserve">Details</t>
        </is>
      </c>
      <c r="M36" t="inlineStr">
        <is>
          <t xml:space="preserve">Costa Rica</t>
        </is>
      </c>
      <c r="N36" t="inlineStr">
        <is>
          <t xml:space="preserve">Mouser</t>
        </is>
      </c>
      <c r="O36" t="inlineStr">
        <is>
          <t xml:space="preserve">200-QSH06001HDA</t>
        </is>
      </c>
      <c r="P36" s="3">
        <v>22.49</v>
      </c>
      <c r="Q36" s="3">
        <f>P36*B36</f>
        <v>44.98</v>
      </c>
      <c r="R36">
        <v>202</v>
      </c>
      <c r="S36" t="inlineStr">
        <is>
          <t xml:space="preserve">Active</t>
        </is>
      </c>
      <c r="T36">
        <v>2</v>
      </c>
      <c r="U36">
        <v>6</v>
      </c>
      <c r="V36" s="3">
        <v>22.49</v>
      </c>
      <c r="W36" s="3">
        <f>V36*U36</f>
        <v>134.94</v>
      </c>
      <c r="X36">
        <v>6.98</v>
      </c>
      <c r="Y36" s="3">
        <f>W36*X36/100</f>
        <v>9.4188</v>
      </c>
      <c r="Z36" s="3">
        <f>W36+Y36</f>
        <v>144.3588</v>
      </c>
    </row>
    <row r="37">
      <c r="A37" t="inlineStr">
        <is>
          <t xml:space="preserve">R10</t>
        </is>
      </c>
      <c r="B37">
        <v>1</v>
      </c>
      <c r="C37" t="inlineStr">
        <is>
          <t xml:space="preserve">4.12k</t>
        </is>
      </c>
      <c r="D37" t="inlineStr">
        <is>
          <t xml:space="preserve">CRCW04024K12FKED</t>
        </is>
      </c>
      <c r="E37" t="inlineStr">
        <is>
          <t xml:space="preserve">Vishay</t>
        </is>
      </c>
      <c r="F37" t="inlineStr">
        <is>
          <t xml:space="preserve">Resistor_SMD:R_0402_1005Metric</t>
        </is>
      </c>
      <c r="G37" t="inlineStr">
        <is>
          <t xml:space="preserve">0402</t>
        </is>
      </c>
      <c r="H37" s="2" t="inlineStr">
        <is>
          <t xml:space="preserve">https://www.vishay.com/docs/20035/dcrcwe3.pdf</t>
        </is>
      </c>
      <c r="I37" s="2" t="inlineStr">
        <is>
          <t xml:space="preserve">https://www.mouser.com/en/ProductDetail/Vishay/CRCW04024K12FKED?qs=hAuyw6LW%252BLh45zlhMS0oKQ%3D%3D</t>
        </is>
      </c>
      <c r="J37" t="inlineStr">
        <is>
          <t xml:space="preserve">Resistor, small symbol</t>
        </is>
      </c>
      <c r="K37" t="inlineStr">
        <is>
          <t xml:space="preserve">yes</t>
        </is>
      </c>
      <c r="L37" t="inlineStr">
        <is>
          <t xml:space="preserve">Details</t>
        </is>
      </c>
      <c r="M37" t="inlineStr">
        <is>
          <t xml:space="preserve">Taiwan</t>
        </is>
      </c>
      <c r="N37" t="inlineStr">
        <is>
          <t xml:space="preserve">Mouser</t>
        </is>
      </c>
      <c r="O37" t="inlineStr">
        <is>
          <t xml:space="preserve">71-CRCW0402-4.12K-E3</t>
        </is>
      </c>
      <c r="P37" s="3">
        <v>0.15</v>
      </c>
      <c r="Q37" s="3">
        <f>P37*B37</f>
        <v>0.15</v>
      </c>
      <c r="R37">
        <v>10238</v>
      </c>
      <c r="S37" t="inlineStr">
        <is>
          <t xml:space="preserve">Active</t>
        </is>
      </c>
      <c r="T37">
        <v>1</v>
      </c>
      <c r="U37">
        <v>3</v>
      </c>
      <c r="V37" s="3">
        <v>0.15</v>
      </c>
      <c r="W37" s="3">
        <f>V37*U37</f>
        <v>0.45</v>
      </c>
      <c r="X37">
        <v>10</v>
      </c>
      <c r="Y37" s="3">
        <f>W37*X37/100</f>
        <v>0.045</v>
      </c>
      <c r="Z37" s="3">
        <f>W37+Y37</f>
        <v>0.495</v>
      </c>
    </row>
    <row r="38">
      <c r="A38" t="inlineStr">
        <is>
          <t xml:space="preserve">SPST1,SPST2,SPST3,SPST4</t>
        </is>
      </c>
      <c r="B38">
        <v>4</v>
      </c>
      <c r="C38" t="inlineStr">
        <is>
          <t xml:space="preserve">TS5A3166DBVR</t>
        </is>
      </c>
      <c r="D38" t="inlineStr">
        <is>
          <t xml:space="preserve">TS5A3166DBVR</t>
        </is>
      </c>
      <c r="E38" t="inlineStr">
        <is>
          <t xml:space="preserve">Texas Instruments</t>
        </is>
      </c>
      <c r="F38" t="inlineStr">
        <is>
          <t xml:space="preserve">Package_TO_SOT_SMD:SOT-23-5</t>
        </is>
      </c>
      <c r="G38" t="inlineStr">
        <is>
          <t xml:space="preserve">SOT-23-5</t>
        </is>
      </c>
      <c r="H38" s="2" t="inlineStr">
        <is>
          <t xml:space="preserve">http://www.ti.com/lit/ds/symlink/ts5a3166.pdf</t>
        </is>
      </c>
      <c r="I38" s="2" t="inlineStr">
        <is>
          <t xml:space="preserve">https://www.mouser.com/en/ProductDetail/Texas-Instruments/TS5A3166DBVR?qs=0O%2FZFlpUpJWfi7hoK1hGig%3D%3D</t>
        </is>
      </c>
      <c r="J38" t="inlineStr">
        <is>
          <t xml:space="preserve">Single SPST Analog Switch, 5-V/3.3-V, normally OFF, 0.9Ohm Ron, SOT-23-5</t>
        </is>
      </c>
      <c r="K38"/>
      <c r="L38" t="inlineStr">
        <is>
          <t xml:space="preserve">Details</t>
        </is>
      </c>
      <c r="M38" t="inlineStr">
        <is>
          <t xml:space="preserve">China</t>
        </is>
      </c>
      <c r="N38" t="inlineStr">
        <is>
          <t xml:space="preserve">Mouser</t>
        </is>
      </c>
      <c r="O38" t="inlineStr">
        <is>
          <t xml:space="preserve">595-TS5A3166DBVR</t>
        </is>
      </c>
      <c r="P38" s="3">
        <v>0.43</v>
      </c>
      <c r="Q38" s="3">
        <f>P38*B38</f>
        <v>1.72</v>
      </c>
      <c r="R38">
        <v>6188</v>
      </c>
      <c r="S38" t="inlineStr">
        <is>
          <t xml:space="preserve">Active</t>
        </is>
      </c>
      <c r="T38">
        <v>4</v>
      </c>
      <c r="U38">
        <v>12</v>
      </c>
      <c r="V38" s="3">
        <v>0.302</v>
      </c>
      <c r="W38" s="3">
        <f>V38*U38</f>
        <v>3.624</v>
      </c>
      <c r="X38">
        <v>7.91</v>
      </c>
      <c r="Y38" s="3">
        <f>W38*X38/100</f>
        <v>0.2867</v>
      </c>
      <c r="Z38" s="3">
        <f>W38+Y38</f>
        <v>3.9107</v>
      </c>
    </row>
    <row r="39">
      <c r="A39" t="inlineStr">
        <is>
          <t xml:space="preserve">R65,R69,R77,R78,R82,R85</t>
        </is>
      </c>
      <c r="B39">
        <v>6</v>
      </c>
      <c r="C39" t="inlineStr">
        <is>
          <t xml:space="preserve">12k</t>
        </is>
      </c>
      <c r="D39" t="inlineStr">
        <is>
          <t xml:space="preserve">560112116040</t>
        </is>
      </c>
      <c r="E39" t="inlineStr">
        <is>
          <t xml:space="preserve">Wurth Elektronik</t>
        </is>
      </c>
      <c r="F39" t="inlineStr">
        <is>
          <t xml:space="preserve">Resistor_SMD:R_0603_1608Metric</t>
        </is>
      </c>
      <c r="G39" t="inlineStr">
        <is>
          <t xml:space="preserve">0603</t>
        </is>
      </c>
      <c r="H39" s="2" t="inlineStr">
        <is>
          <t xml:space="preserve">https://www.we-online.com/components/products/datasheet/560112116040.pdf</t>
        </is>
      </c>
      <c r="I39" s="2" t="inlineStr">
        <is>
          <t xml:space="preserve">https://www.mouser.com/en/ProductDetail/Wurth-Elektronik/560112116040?qs=mELouGlnn3eCk9Q8a0lJSQ%3D%3D</t>
        </is>
      </c>
      <c r="J39" t="inlineStr">
        <is>
          <t xml:space="preserve">Resistor</t>
        </is>
      </c>
      <c r="K39" t="inlineStr">
        <is>
          <t xml:space="preserve">yes</t>
        </is>
      </c>
      <c r="L39" t="inlineStr">
        <is>
          <t xml:space="preserve">Details</t>
        </is>
      </c>
      <c r="M39" t="inlineStr">
        <is>
          <t xml:space="preserve">Taiwan</t>
        </is>
      </c>
      <c r="N39" t="inlineStr">
        <is>
          <t xml:space="preserve">Mouser</t>
        </is>
      </c>
      <c r="O39" t="inlineStr">
        <is>
          <t xml:space="preserve">710-560112116040</t>
        </is>
      </c>
      <c r="P39" s="3">
        <v>0.11</v>
      </c>
      <c r="Q39" s="3">
        <f>P39*B39</f>
        <v>0.66</v>
      </c>
      <c r="R39">
        <v>13073</v>
      </c>
      <c r="S39" t="inlineStr">
        <is>
          <t xml:space="preserve">Active</t>
        </is>
      </c>
      <c r="T39">
        <v>6</v>
      </c>
      <c r="U39">
        <v>18</v>
      </c>
      <c r="V39" s="3">
        <v>0.102</v>
      </c>
      <c r="W39" s="3">
        <f>V39*U39</f>
        <v>1.836</v>
      </c>
      <c r="X39">
        <v>0</v>
      </c>
      <c r="Y39" s="3">
        <f>W39*X39/100</f>
        <v>0</v>
      </c>
      <c r="Z39" s="3">
        <f>W39+Y39</f>
        <v>1.836</v>
      </c>
    </row>
    <row r="40">
      <c r="A40" t="inlineStr">
        <is>
          <t xml:space="preserve">C7,C9,C18,C30,C31,C70,C72,C75,C76,C77,C78,C80,C81,C82</t>
        </is>
      </c>
      <c r="B40">
        <v>14</v>
      </c>
      <c r="C40" t="inlineStr">
        <is>
          <t xml:space="preserve">1uF</t>
        </is>
      </c>
      <c r="D40" t="inlineStr">
        <is>
          <t xml:space="preserve">CC0603KRX5R9BB105</t>
        </is>
      </c>
      <c r="E40" t="inlineStr">
        <is>
          <t xml:space="preserve">YAGEO</t>
        </is>
      </c>
      <c r="F40" t="inlineStr">
        <is>
          <t xml:space="preserve">Capacitor_SMD:C_0603_1608Metric</t>
        </is>
      </c>
      <c r="G40" t="inlineStr">
        <is>
          <t xml:space="preserve">0603</t>
        </is>
      </c>
      <c r="H40" s="2" t="inlineStr">
        <is>
          <t xml:space="preserve">https://www.mouser.com/datasheet/3/508/1/upy-gphc_x5r_4v-to-50v.pdf</t>
        </is>
      </c>
      <c r="I40" s="2" t="inlineStr">
        <is>
          <t xml:space="preserve">https://www.mouser.com/en/ProductDetail/YAGEO/CC0603KRX5R9BB105?qs=zEY9bCHj09dqHVk4sHIcjA%3D%3D</t>
        </is>
      </c>
      <c r="J40" t="inlineStr">
        <is>
          <t xml:space="preserve">capacitor, small US symbol</t>
        </is>
      </c>
      <c r="K40" t="inlineStr">
        <is>
          <t xml:space="preserve">yes</t>
        </is>
      </c>
      <c r="L40" t="inlineStr">
        <is>
          <t xml:space="preserve">Details</t>
        </is>
      </c>
      <c r="M40" t="inlineStr">
        <is>
          <t xml:space="preserve">Taiwan</t>
        </is>
      </c>
      <c r="N40" t="inlineStr">
        <is>
          <t xml:space="preserve">Mouser</t>
        </is>
      </c>
      <c r="O40" t="inlineStr">
        <is>
          <t xml:space="preserve">603-CC603KRX5R9BB105</t>
        </is>
      </c>
      <c r="P40" s="3">
        <v>0.23</v>
      </c>
      <c r="Q40" s="3">
        <f>P40*B40</f>
        <v>3.22</v>
      </c>
      <c r="R40">
        <v>60700</v>
      </c>
      <c r="S40" t="inlineStr">
        <is>
          <t xml:space="preserve">Active</t>
        </is>
      </c>
      <c r="T40">
        <v>14</v>
      </c>
      <c r="U40">
        <v>42</v>
      </c>
      <c r="V40" s="3">
        <v>0.096</v>
      </c>
      <c r="W40" s="3">
        <f>V40*U40</f>
        <v>4.032</v>
      </c>
      <c r="X40">
        <v>7.83</v>
      </c>
      <c r="Y40" s="3">
        <f>W40*X40/100</f>
        <v>0.3157</v>
      </c>
      <c r="Z40" s="3">
        <f>W40+Y40</f>
        <v>4.3477</v>
      </c>
    </row>
    <row r="41">
      <c r="A41" t="inlineStr">
        <is>
          <t xml:space="preserve">LQFP64_SWD1,LQFP64_USART1,cg-SWD_Breakout_Parent1</t>
        </is>
      </c>
      <c r="B41">
        <v>3</v>
      </c>
      <c r="C41" t="inlineStr">
        <is>
          <t xml:space="preserve">Conn_01x04_Pin</t>
        </is>
      </c>
      <c r="D41" t="inlineStr">
        <is>
          <t xml:space="preserve">61300411121</t>
        </is>
      </c>
      <c r="E41" t="inlineStr">
        <is>
          <t xml:space="preserve">Wurth Elektronik</t>
        </is>
      </c>
      <c r="F41" t="inlineStr">
        <is>
          <t xml:space="preserve">Connector_PinHeader_2.54mm:PinHeader_1x04_P2.54mm_Vertical</t>
        </is>
      </c>
      <c r="G41"/>
      <c r="H41" s="2" t="inlineStr">
        <is>
          <t xml:space="preserve">https://www.we-online.com/components/products/datasheet/61300411121.pdf</t>
        </is>
      </c>
      <c r="I41" s="2" t="inlineStr">
        <is>
          <t xml:space="preserve">https://www.mouser.com/en/ProductDetail/Wurth-Elektronik/61300411121?qs=PhR8RmCirEYQcLLqXD8rAA%3D%3D</t>
        </is>
      </c>
      <c r="J41" t="inlineStr">
        <is>
          <t xml:space="preserve">Generic connector, single row, 01x04, script generated</t>
        </is>
      </c>
      <c r="K41"/>
      <c r="L41" t="inlineStr">
        <is>
          <t xml:space="preserve">Details</t>
        </is>
      </c>
      <c r="M41" t="inlineStr">
        <is>
          <t xml:space="preserve">Taiwan</t>
        </is>
      </c>
      <c r="N41" t="inlineStr">
        <is>
          <t xml:space="preserve">Mouser</t>
        </is>
      </c>
      <c r="O41" t="inlineStr">
        <is>
          <t xml:space="preserve">710-61300411121</t>
        </is>
      </c>
      <c r="P41" s="3">
        <v>0.19</v>
      </c>
      <c r="Q41" s="3">
        <f>P41*B41</f>
        <v>0.57</v>
      </c>
      <c r="R41">
        <v>51814</v>
      </c>
      <c r="S41" t="inlineStr">
        <is>
          <t xml:space="preserve">Active</t>
        </is>
      </c>
      <c r="T41">
        <v>3</v>
      </c>
      <c r="U41">
        <v>10</v>
      </c>
      <c r="V41" s="3">
        <v>0.163</v>
      </c>
      <c r="W41" s="3">
        <f>V41*U41</f>
        <v>1.63</v>
      </c>
      <c r="X41">
        <v>0</v>
      </c>
      <c r="Y41" s="3">
        <f>W41*X41/100</f>
        <v>0</v>
      </c>
      <c r="Z41" s="3">
        <f>W41+Y41</f>
        <v>1.63</v>
      </c>
    </row>
    <row r="42">
      <c r="A42" t="inlineStr">
        <is>
          <t xml:space="preserve">R35</t>
        </is>
      </c>
      <c r="B42">
        <v>1</v>
      </c>
      <c r="C42" t="inlineStr">
        <is>
          <t xml:space="preserve">66.5k</t>
        </is>
      </c>
      <c r="D42" t="inlineStr">
        <is>
          <t xml:space="preserve">CR0603-FX-6652ELF</t>
        </is>
      </c>
      <c r="E42" t="inlineStr">
        <is>
          <t xml:space="preserve">Bourns</t>
        </is>
      </c>
      <c r="F42" t="inlineStr">
        <is>
          <t xml:space="preserve">Resistor_SMD:R_0603_1608Metric</t>
        </is>
      </c>
      <c r="G42" t="inlineStr">
        <is>
          <t xml:space="preserve">0603</t>
        </is>
      </c>
      <c r="H42" s="2" t="inlineStr">
        <is>
          <t xml:space="preserve">https://www.mouser.com/datasheet/3/40/1/cr.pdf</t>
        </is>
      </c>
      <c r="I42" s="2" t="inlineStr">
        <is>
          <t xml:space="preserve">https://www.mouser.com/en/ProductDetail/Bourns/CR0603-FX-6652ELF?qs=0nF2VnfAjXlJmCU3wHzsbQ%3D%3D</t>
        </is>
      </c>
      <c r="J42" t="inlineStr">
        <is>
          <t xml:space="preserve">Resistor, small symbol</t>
        </is>
      </c>
      <c r="K42" t="inlineStr">
        <is>
          <t xml:space="preserve">yes</t>
        </is>
      </c>
      <c r="L42" t="inlineStr">
        <is>
          <t xml:space="preserve">Details</t>
        </is>
      </c>
      <c r="M42" t="inlineStr">
        <is>
          <t xml:space="preserve">Taiwan</t>
        </is>
      </c>
      <c r="N42" t="inlineStr">
        <is>
          <t xml:space="preserve">Mouser</t>
        </is>
      </c>
      <c r="O42" t="inlineStr">
        <is>
          <t xml:space="preserve">652-CR0603-FX6652ELF</t>
        </is>
      </c>
      <c r="P42" s="3">
        <v>0.1</v>
      </c>
      <c r="Q42" s="3">
        <f>P42*B42</f>
        <v>0.1</v>
      </c>
      <c r="R42">
        <v>368665</v>
      </c>
      <c r="S42" t="inlineStr">
        <is>
          <t xml:space="preserve">Active</t>
        </is>
      </c>
      <c r="T42">
        <v>1</v>
      </c>
      <c r="U42">
        <v>10</v>
      </c>
      <c r="V42" s="3">
        <v>0.016</v>
      </c>
      <c r="W42" s="3">
        <f>V42*U42</f>
        <v>0.16</v>
      </c>
      <c r="X42">
        <v>0</v>
      </c>
      <c r="Y42" s="3">
        <f>W42*X42/100</f>
        <v>0</v>
      </c>
      <c r="Z42" s="3">
        <f>W42+Y42</f>
        <v>0.16</v>
      </c>
    </row>
    <row r="43">
      <c r="A43" t="inlineStr">
        <is>
          <t xml:space="preserve">R23</t>
        </is>
      </c>
      <c r="B43">
        <v>1</v>
      </c>
      <c r="C43" t="inlineStr">
        <is>
          <t xml:space="preserve">10.2k</t>
        </is>
      </c>
      <c r="D43" t="inlineStr">
        <is>
          <t xml:space="preserve">ERJ-H3EF1022V</t>
        </is>
      </c>
      <c r="E43" t="inlineStr">
        <is>
          <t xml:space="preserve">Panasonic</t>
        </is>
      </c>
      <c r="F43" t="inlineStr">
        <is>
          <t xml:space="preserve">Resistor_SMD:R_0603_1608Metric</t>
        </is>
      </c>
      <c r="G43" t="inlineStr">
        <is>
          <t xml:space="preserve">0603</t>
        </is>
      </c>
      <c r="H43" s="2" t="inlineStr">
        <is>
          <t xml:space="preserve">https://industrial.panasonic.com/cdbs/www-data/pdf/RDO0000/RDO0000C334.pdf</t>
        </is>
      </c>
      <c r="I43" s="2" t="inlineStr">
        <is>
          <t xml:space="preserve">https://www.mouser.com/en/ProductDetail/Panasonic/ERJ-H3EF1022V?qs=eP2BKZSCXI7QGPTo2Wu7Tg%3D%3D</t>
        </is>
      </c>
      <c r="J43" t="inlineStr">
        <is>
          <t xml:space="preserve">Resistor, small symbol</t>
        </is>
      </c>
      <c r="K43" t="inlineStr">
        <is>
          <t xml:space="preserve">yes</t>
        </is>
      </c>
      <c r="L43" t="inlineStr">
        <is>
          <t xml:space="preserve">Details</t>
        </is>
      </c>
      <c r="M43" t="inlineStr">
        <is>
          <t xml:space="preserve">Japan</t>
        </is>
      </c>
      <c r="N43" t="inlineStr">
        <is>
          <t xml:space="preserve">Mouser</t>
        </is>
      </c>
      <c r="O43" t="inlineStr">
        <is>
          <t xml:space="preserve">667-ERJ-H3EF1022V</t>
        </is>
      </c>
      <c r="P43" s="3">
        <v>0.28</v>
      </c>
      <c r="Q43" s="3">
        <f>P43*B43</f>
        <v>0.28</v>
      </c>
      <c r="R43">
        <v>9828</v>
      </c>
      <c r="S43" t="inlineStr">
        <is>
          <t xml:space="preserve">Active</t>
        </is>
      </c>
      <c r="T43">
        <v>1</v>
      </c>
      <c r="U43">
        <v>3</v>
      </c>
      <c r="V43" s="3">
        <v>0.28</v>
      </c>
      <c r="W43" s="3">
        <f>V43*U43</f>
        <v>0.84</v>
      </c>
      <c r="X43">
        <v>0</v>
      </c>
      <c r="Y43" s="3">
        <f>W43*X43/100</f>
        <v>0</v>
      </c>
      <c r="Z43" s="3">
        <f>W43+Y43</f>
        <v>0.84</v>
      </c>
    </row>
    <row r="44">
      <c r="A44" t="inlineStr">
        <is>
          <t xml:space="preserve">R36</t>
        </is>
      </c>
      <c r="B44">
        <v>1</v>
      </c>
      <c r="C44" t="inlineStr">
        <is>
          <t xml:space="preserve">133k</t>
        </is>
      </c>
      <c r="D44" t="inlineStr">
        <is>
          <t xml:space="preserve">CRCW0603133KFKTA</t>
        </is>
      </c>
      <c r="E44" t="inlineStr">
        <is>
          <t xml:space="preserve">Vishay</t>
        </is>
      </c>
      <c r="F44" t="inlineStr">
        <is>
          <t xml:space="preserve">Resistor_SMD:R_0603_1608Metric</t>
        </is>
      </c>
      <c r="G44" t="inlineStr">
        <is>
          <t xml:space="preserve">0603</t>
        </is>
      </c>
      <c r="H44" s="2" t="inlineStr">
        <is>
          <t xml:space="preserve">https://www.vishay.com/docs/20008/dcrcw.pdf</t>
        </is>
      </c>
      <c r="I44" s="2" t="inlineStr">
        <is>
          <t xml:space="preserve">http://mouser.com/en/ProductDetail/Vishay/CRCW0603133KFKTA?qs=IKjLF%2FNaaZUWED%2FihlRVOQ%3D%3D</t>
        </is>
      </c>
      <c r="J44" t="inlineStr">
        <is>
          <t xml:space="preserve">Resistor, small symbol</t>
        </is>
      </c>
      <c r="K44" t="inlineStr">
        <is>
          <t xml:space="preserve">yes</t>
        </is>
      </c>
      <c r="L44" t="inlineStr">
        <is>
          <t xml:space="preserve">No - RoHS Version Available</t>
        </is>
      </c>
      <c r="M44" t="inlineStr">
        <is>
          <t xml:space="preserve">Israel</t>
        </is>
      </c>
      <c r="N44" t="inlineStr">
        <is>
          <t xml:space="preserve">Mouser</t>
        </is>
      </c>
      <c r="O44" t="inlineStr">
        <is>
          <t xml:space="preserve">71-CRCW0603-133K</t>
        </is>
      </c>
      <c r="P44" s="3">
        <v>0.16</v>
      </c>
      <c r="Q44" s="3">
        <f>P44*B44</f>
        <v>0.16</v>
      </c>
      <c r="R44">
        <v>7217</v>
      </c>
      <c r="S44" t="inlineStr">
        <is>
          <t xml:space="preserve">Active</t>
        </is>
      </c>
      <c r="T44">
        <v>1</v>
      </c>
      <c r="U44">
        <v>3</v>
      </c>
      <c r="V44" s="3">
        <v>0.16</v>
      </c>
      <c r="W44" s="3">
        <f>V44*U44</f>
        <v>0.48</v>
      </c>
      <c r="X44">
        <v>0</v>
      </c>
      <c r="Y44" s="3">
        <f>W44*X44/100</f>
        <v>0</v>
      </c>
      <c r="Z44" s="3">
        <f>W44+Y44</f>
        <v>0.48</v>
      </c>
    </row>
    <row r="45">
      <c r="A45" t="inlineStr">
        <is>
          <t xml:space="preserve">AND1,AND2,AND3,AND4,NAND1</t>
        </is>
      </c>
      <c r="B45">
        <v>5</v>
      </c>
      <c r="C45" t="inlineStr">
        <is>
          <t xml:space="preserve">SN74LVC1G08DBVT</t>
        </is>
      </c>
      <c r="D45" t="inlineStr">
        <is>
          <t xml:space="preserve">SN74LVC1G08DBVT</t>
        </is>
      </c>
      <c r="E45" t="inlineStr">
        <is>
          <t xml:space="preserve">Texas Instruments</t>
        </is>
      </c>
      <c r="F45" t="inlineStr">
        <is>
          <t xml:space="preserve">Package_TO_SOT_SMD:SOT-23-5</t>
        </is>
      </c>
      <c r="G45" t="inlineStr">
        <is>
          <t xml:space="preserve">SOT-23-5</t>
        </is>
      </c>
      <c r="H45" s="2" t="inlineStr">
        <is>
          <t xml:space="preserve">https://www.ti.com/lit/gpn/sn74lvc1g08</t>
        </is>
      </c>
      <c r="I45" s="2" t="inlineStr">
        <is>
          <t xml:space="preserve">https://www.mouser.com/en/ProductDetail/Texas-Instruments/SN74LVC1G08DBVT?qs=nqigI8dpoHJVJyaZlPLFSg%3D%3D</t>
        </is>
      </c>
      <c r="J45" t="inlineStr">
        <is>
          <t xml:space="preserve">AND Gate IC 1 Channel - SOT-23-5</t>
        </is>
      </c>
      <c r="K45"/>
      <c r="L45" t="inlineStr">
        <is>
          <t xml:space="preserve">Details</t>
        </is>
      </c>
      <c r="M45" t="inlineStr">
        <is>
          <t xml:space="preserve">China</t>
        </is>
      </c>
      <c r="N45" t="inlineStr">
        <is>
          <t xml:space="preserve">Mouser</t>
        </is>
      </c>
      <c r="O45" t="inlineStr">
        <is>
          <t xml:space="preserve">595-SN74LVC1G08DBVT</t>
        </is>
      </c>
      <c r="P45" s="3">
        <v>0.9</v>
      </c>
      <c r="Q45" s="3">
        <f>P45*B45</f>
        <v>4.5</v>
      </c>
      <c r="R45">
        <v>5486</v>
      </c>
      <c r="S45" t="inlineStr">
        <is>
          <t xml:space="preserve">Active</t>
        </is>
      </c>
      <c r="T45">
        <v>5</v>
      </c>
      <c r="U45">
        <v>15</v>
      </c>
      <c r="V45" s="3">
        <v>0.643</v>
      </c>
      <c r="W45" s="3">
        <f>V45*U45</f>
        <v>9.645</v>
      </c>
      <c r="X45">
        <v>8</v>
      </c>
      <c r="Y45" s="3">
        <f>W45*X45/100</f>
        <v>0.7716</v>
      </c>
      <c r="Z45" s="3">
        <f>W45+Y45</f>
        <v>10.4166</v>
      </c>
    </row>
    <row r="46">
      <c r="A46" t="inlineStr">
        <is>
          <t xml:space="preserve">C24</t>
        </is>
      </c>
      <c r="B46">
        <v>1</v>
      </c>
      <c r="C46" t="inlineStr">
        <is>
          <t xml:space="preserve">2.2n</t>
        </is>
      </c>
      <c r="D46" t="inlineStr">
        <is>
          <t xml:space="preserve">CL05B222KB5NNNC</t>
        </is>
      </c>
      <c r="E46" t="inlineStr">
        <is>
          <t xml:space="preserve">Samsung</t>
        </is>
      </c>
      <c r="F46" t="inlineStr">
        <is>
          <t xml:space="preserve">Capacitor_SMD:C_0402_1005Metric</t>
        </is>
      </c>
      <c r="G46" t="inlineStr">
        <is>
          <t xml:space="preserve">0402</t>
        </is>
      </c>
      <c r="H46" s="2" t="inlineStr">
        <is>
          <t xml:space="preserve">https://weblib.samsungsem.com/mlcc/mlcc-ec-data-sheet.do?partNumber=CL05B222KB5NNN</t>
        </is>
      </c>
      <c r="I46" s="2" t="inlineStr">
        <is>
          <t xml:space="preserve">https://www.mouser.com/en/ProductDetail/Samsung-Electro-Mechanics/CL05B222KB5NNNC?qs=349EhDEZ59rr3rosBHU74A%3D%3D</t>
        </is>
      </c>
      <c r="J46" t="inlineStr">
        <is>
          <t xml:space="preserve">capacitor, small US symbol</t>
        </is>
      </c>
      <c r="K46" t="inlineStr">
        <is>
          <t xml:space="preserve">yes</t>
        </is>
      </c>
      <c r="L46" t="inlineStr">
        <is>
          <t xml:space="preserve">Details</t>
        </is>
      </c>
      <c r="M46" t="inlineStr">
        <is>
          <t xml:space="preserve">Philippines</t>
        </is>
      </c>
      <c r="N46" t="inlineStr">
        <is>
          <t xml:space="preserve">Mouser</t>
        </is>
      </c>
      <c r="O46" t="inlineStr">
        <is>
          <t xml:space="preserve">187-CL05B222KB5NNNC</t>
        </is>
      </c>
      <c r="P46" s="3">
        <v>0.1</v>
      </c>
      <c r="Q46" s="3">
        <f>P46*B46</f>
        <v>0.1</v>
      </c>
      <c r="R46">
        <v>12169</v>
      </c>
      <c r="S46" t="inlineStr">
        <is>
          <t xml:space="preserve">Active</t>
        </is>
      </c>
      <c r="T46">
        <v>1</v>
      </c>
      <c r="U46">
        <v>10</v>
      </c>
      <c r="V46" s="3">
        <v>0.016</v>
      </c>
      <c r="W46" s="3">
        <f>V46*U46</f>
        <v>0.16</v>
      </c>
      <c r="X46">
        <v>8</v>
      </c>
      <c r="Y46" s="3">
        <f>W46*X46/100</f>
        <v>0.0128</v>
      </c>
      <c r="Z46" s="3">
        <f>W46+Y46</f>
        <v>0.1728</v>
      </c>
    </row>
    <row r="47">
      <c r="A47" t="inlineStr">
        <is>
          <t xml:space="preserve">BAT_CHG1,BAT_SET1,PWR1</t>
        </is>
      </c>
      <c r="B47">
        <v>3</v>
      </c>
      <c r="C47" t="inlineStr">
        <is>
          <t xml:space="preserve">Green LED, V_f = 2.4 V at 20 mA, 0603</t>
        </is>
      </c>
      <c r="D47" t="inlineStr">
        <is>
          <t xml:space="preserve">599-0160-137F</t>
        </is>
      </c>
      <c r="E47" t="inlineStr">
        <is>
          <t xml:space="preserve">Dialight</t>
        </is>
      </c>
      <c r="F47" t="inlineStr">
        <is>
          <t xml:space="preserve">LED_SMD:LED_0603_1608Metric</t>
        </is>
      </c>
      <c r="G47" t="inlineStr">
        <is>
          <t xml:space="preserve">0805</t>
        </is>
      </c>
      <c r="H47" s="2" t="inlineStr">
        <is>
          <t xml:space="preserve">https://s3.us-west-2.amazonaws.com/catsy.557/Dialight_datasheet_599_Single-Color_0805_2_Taiwan.pdf</t>
        </is>
      </c>
      <c r="I47" s="2" t="inlineStr">
        <is>
          <t xml:space="preserve">https://www.mouser.com/en/ProductDetail/Dialight/599-0160-137F?qs=4dK74SdgGtw70mfJFAB4aw%3D%3D</t>
        </is>
      </c>
      <c r="J47" t="inlineStr">
        <is>
          <t xml:space="preserve">Light emitting diode</t>
        </is>
      </c>
      <c r="K47"/>
      <c r="L47" t="inlineStr">
        <is>
          <t xml:space="preserve">Details</t>
        </is>
      </c>
      <c r="M47" t="inlineStr">
        <is>
          <t xml:space="preserve">Taiwan</t>
        </is>
      </c>
      <c r="N47" t="inlineStr">
        <is>
          <t xml:space="preserve">Mouser</t>
        </is>
      </c>
      <c r="O47" t="inlineStr">
        <is>
          <t xml:space="preserve">645-599-0160-137F</t>
        </is>
      </c>
      <c r="P47" s="3">
        <v>0.29</v>
      </c>
      <c r="Q47" s="3">
        <f>P47*B47</f>
        <v>0.87</v>
      </c>
      <c r="R47">
        <v>11820</v>
      </c>
      <c r="S47" t="inlineStr">
        <is>
          <t xml:space="preserve">New Product</t>
        </is>
      </c>
      <c r="T47">
        <v>3</v>
      </c>
      <c r="U47">
        <v>10</v>
      </c>
      <c r="V47" s="3">
        <v>0.195</v>
      </c>
      <c r="W47" s="3">
        <f>V47*U47</f>
        <v>1.95</v>
      </c>
      <c r="X47">
        <v>7.93</v>
      </c>
      <c r="Y47" s="3">
        <f>W47*X47/100</f>
        <v>0.1546</v>
      </c>
      <c r="Z47" s="3">
        <f>W47+Y47</f>
        <v>2.1046</v>
      </c>
    </row>
    <row r="48">
      <c r="A48" t="inlineStr">
        <is>
          <t xml:space="preserve">EFUSE1</t>
        </is>
      </c>
      <c r="B48">
        <v>1</v>
      </c>
      <c r="C48" t="inlineStr">
        <is>
          <t xml:space="preserve">TPS259470L</t>
        </is>
      </c>
      <c r="D48" t="inlineStr">
        <is>
          <t xml:space="preserve">TPS259470LRPWR</t>
        </is>
      </c>
      <c r="E48" t="inlineStr">
        <is>
          <t xml:space="preserve">Texas Instruments</t>
        </is>
      </c>
      <c r="F48" t="inlineStr">
        <is>
          <t xml:space="preserve">Package_DFN_QFN:Texas_RPU0010A_VQFN-HR-10_2x2mm_P0.5mm</t>
        </is>
      </c>
      <c r="G48" t="inlineStr">
        <is>
          <t xml:space="preserve">VQFN-HR-10</t>
        </is>
      </c>
      <c r="H48" s="2" t="inlineStr">
        <is>
          <t xml:space="preserve">https://www.ti.com/lit/gpn/tps25947</t>
        </is>
      </c>
      <c r="I48" s="2" t="inlineStr">
        <is>
          <t xml:space="preserve">https://www.mouser.co.il/en/ProductDetail/Texas-Instruments/TPS259470LRPWR?qs=iLbezkQI%252BsibLmP55loGPQ%3D%3D</t>
        </is>
      </c>
      <c r="J48" t="inlineStr">
        <is>
          <t xml:space="preserve">Hot Swap Voltage Controllers</t>
        </is>
      </c>
      <c r="K48"/>
      <c r="L48" t="inlineStr">
        <is>
          <t xml:space="preserve">Details</t>
        </is>
      </c>
      <c r="M48" t="inlineStr">
        <is>
          <t xml:space="preserve">China</t>
        </is>
      </c>
      <c r="N48" t="inlineStr">
        <is>
          <t xml:space="preserve">Mouser</t>
        </is>
      </c>
      <c r="O48" t="inlineStr">
        <is>
          <t xml:space="preserve">595-TPS259470LRPWR</t>
        </is>
      </c>
      <c r="P48" s="3">
        <v>1.71</v>
      </c>
      <c r="Q48" s="3">
        <f>P48*B48</f>
        <v>1.71</v>
      </c>
      <c r="R48">
        <v>5669</v>
      </c>
      <c r="S48" t="inlineStr">
        <is>
          <t xml:space="preserve">Active</t>
        </is>
      </c>
      <c r="T48">
        <v>1</v>
      </c>
      <c r="U48">
        <v>3</v>
      </c>
      <c r="V48" s="3">
        <v>1.71</v>
      </c>
      <c r="W48" s="3">
        <f>V48*U48</f>
        <v>5.13</v>
      </c>
      <c r="X48">
        <v>0</v>
      </c>
      <c r="Y48" s="3">
        <f>W48*X48/100</f>
        <v>0</v>
      </c>
      <c r="Z48" s="3">
        <f>W48+Y48</f>
        <v>5.13</v>
      </c>
    </row>
    <row r="49">
      <c r="A49" t="inlineStr">
        <is>
          <t xml:space="preserve">BUCK_1V1,BUCK_3V1</t>
        </is>
      </c>
      <c r="B49">
        <v>2</v>
      </c>
      <c r="C49" t="inlineStr">
        <is>
          <t xml:space="preserve">TPS62933P</t>
        </is>
      </c>
      <c r="D49" t="inlineStr">
        <is>
          <t xml:space="preserve">TPS62933PDRLR</t>
        </is>
      </c>
      <c r="E49" t="inlineStr">
        <is>
          <t xml:space="preserve">Texas Instruments</t>
        </is>
      </c>
      <c r="F49" t="inlineStr">
        <is>
          <t xml:space="preserve">Package_TO_SOT_SMD:SOT-583-8</t>
        </is>
      </c>
      <c r="G49" t="inlineStr">
        <is>
          <t xml:space="preserve">SOT-583-8</t>
        </is>
      </c>
      <c r="H49" s="2" t="inlineStr">
        <is>
          <t xml:space="preserve">https://www.ti.com/lit/ds/symlink/tps62933.pdf</t>
        </is>
      </c>
      <c r="I49" s="2" t="inlineStr">
        <is>
          <t xml:space="preserve">https://www.mouser.com/en/ProductDetail/Texas-Instruments/TPS62933PDRLR?qs=vvQtp7zwQdPCuPvhGs%2FYxA%3D%3D</t>
        </is>
      </c>
      <c r="J49" t="inlineStr">
        <is>
          <t xml:space="preserve">3.8-30V, 3A Synchronous Buck Converters with pulse frequency modulation (PFM) and power good, SOT583-8</t>
        </is>
      </c>
      <c r="K49"/>
      <c r="L49" t="inlineStr">
        <is>
          <t xml:space="preserve">Details</t>
        </is>
      </c>
      <c r="M49" t="inlineStr">
        <is>
          <t xml:space="preserve">Philippines</t>
        </is>
      </c>
      <c r="N49" t="inlineStr">
        <is>
          <t xml:space="preserve">Mouser</t>
        </is>
      </c>
      <c r="O49" t="inlineStr">
        <is>
          <t xml:space="preserve">595-TPS62933PDRLR</t>
        </is>
      </c>
      <c r="P49" s="3">
        <v>1.38</v>
      </c>
      <c r="Q49" s="3">
        <f>P49*B49</f>
        <v>2.76</v>
      </c>
      <c r="R49">
        <v>10754</v>
      </c>
      <c r="S49" t="inlineStr">
        <is>
          <t xml:space="preserve">Active</t>
        </is>
      </c>
      <c r="T49">
        <v>2</v>
      </c>
      <c r="U49">
        <v>6</v>
      </c>
      <c r="V49" s="3">
        <v>1.38</v>
      </c>
      <c r="W49" s="3">
        <f>V49*U49</f>
        <v>8.28</v>
      </c>
      <c r="X49">
        <v>0</v>
      </c>
      <c r="Y49" s="3">
        <f>W49*X49/100</f>
        <v>0</v>
      </c>
      <c r="Z49" s="3">
        <f>W49+Y49</f>
        <v>8.28</v>
      </c>
    </row>
    <row r="50">
      <c r="A50" t="inlineStr">
        <is>
          <t xml:space="preserve">R56,R57,R58,R62</t>
        </is>
      </c>
      <c r="B50">
        <v>4</v>
      </c>
      <c r="C50" t="inlineStr">
        <is>
          <t xml:space="preserve">22</t>
        </is>
      </c>
      <c r="D50" t="inlineStr">
        <is>
          <t xml:space="preserve">CR0603-FX-22R0ELF</t>
        </is>
      </c>
      <c r="E50" t="inlineStr">
        <is>
          <t xml:space="preserve">Bourns</t>
        </is>
      </c>
      <c r="F50" t="inlineStr">
        <is>
          <t xml:space="preserve">Resistor_SMD:R_0603_1608Metric</t>
        </is>
      </c>
      <c r="G50" t="inlineStr">
        <is>
          <t xml:space="preserve">0603</t>
        </is>
      </c>
      <c r="H50" s="2" t="inlineStr">
        <is>
          <t xml:space="preserve">https://www.mouser.com/datasheet/3/40/1/cr.pdf</t>
        </is>
      </c>
      <c r="I50" s="2" t="inlineStr">
        <is>
          <t xml:space="preserve">https://www.mouser.com/en/ProductDetail/Bourns/CR0603-FX-22R0ELF?qs=zx2075yZkZKT%252BQKP9p4AfA%3D%3D</t>
        </is>
      </c>
      <c r="J50" t="inlineStr">
        <is>
          <t xml:space="preserve">Resistor</t>
        </is>
      </c>
      <c r="K50" t="inlineStr">
        <is>
          <t xml:space="preserve">yes</t>
        </is>
      </c>
      <c r="L50" t="inlineStr">
        <is>
          <t xml:space="preserve">Details</t>
        </is>
      </c>
      <c r="M50" t="inlineStr">
        <is>
          <t xml:space="preserve">Taiwan</t>
        </is>
      </c>
      <c r="N50" t="inlineStr">
        <is>
          <t xml:space="preserve">Mouser</t>
        </is>
      </c>
      <c r="O50" t="inlineStr">
        <is>
          <t xml:space="preserve">652-CR0603FX-22R0ELF</t>
        </is>
      </c>
      <c r="P50" s="3">
        <v>0.1</v>
      </c>
      <c r="Q50" s="3">
        <f>P50*B50</f>
        <v>0.4</v>
      </c>
      <c r="R50">
        <v>67949</v>
      </c>
      <c r="S50" t="inlineStr">
        <is>
          <t xml:space="preserve">Active</t>
        </is>
      </c>
      <c r="T50">
        <v>4</v>
      </c>
      <c r="U50">
        <v>12</v>
      </c>
      <c r="V50" s="3">
        <v>0.012</v>
      </c>
      <c r="W50" s="3">
        <f>V50*U50</f>
        <v>0.144</v>
      </c>
      <c r="X50">
        <v>0</v>
      </c>
      <c r="Y50" s="3">
        <f>W50*X50/100</f>
        <v>0</v>
      </c>
      <c r="Z50" s="3">
        <f>W50+Y50</f>
        <v>0.144</v>
      </c>
    </row>
    <row r="51">
      <c r="A51" t="inlineStr">
        <is>
          <t xml:space="preserve">C27,C53</t>
        </is>
      </c>
      <c r="B51">
        <v>2</v>
      </c>
      <c r="C51" t="inlineStr">
        <is>
          <t xml:space="preserve">4.7uF</t>
        </is>
      </c>
      <c r="D51" t="inlineStr">
        <is>
          <t xml:space="preserve">CC0805KFX5R8BB475</t>
        </is>
      </c>
      <c r="E51" t="inlineStr">
        <is>
          <t xml:space="preserve">YAGEO</t>
        </is>
      </c>
      <c r="F51" t="inlineStr">
        <is>
          <t xml:space="preserve">Capacitor_SMD:C_0805_2012Metric</t>
        </is>
      </c>
      <c r="G51" t="inlineStr">
        <is>
          <t xml:space="preserve">0805</t>
        </is>
      </c>
      <c r="H51" s="2" t="inlineStr">
        <is>
          <t xml:space="preserve">https://www.mouser.com/datasheet/3/508/1/upy-gphc_x5r_4v-to-50v.pdf</t>
        </is>
      </c>
      <c r="I51" s="2" t="inlineStr">
        <is>
          <t xml:space="preserve">https://www.mouser.com/en/ProductDetail/YAGEO/CC0805KFX5R8BB475?qs=mzRxyRlhVdvf7w1%2FCVNeQQ%3D%3D</t>
        </is>
      </c>
      <c r="J51" t="inlineStr">
        <is>
          <t xml:space="preserve">capacitor, small US symbol</t>
        </is>
      </c>
      <c r="K51" t="inlineStr">
        <is>
          <t xml:space="preserve">yes</t>
        </is>
      </c>
      <c r="L51" t="inlineStr">
        <is>
          <t xml:space="preserve">Details</t>
        </is>
      </c>
      <c r="M51" t="inlineStr">
        <is>
          <t xml:space="preserve">Taiwan</t>
        </is>
      </c>
      <c r="N51" t="inlineStr">
        <is>
          <t xml:space="preserve">Mouser</t>
        </is>
      </c>
      <c r="O51" t="inlineStr">
        <is>
          <t xml:space="preserve">603-CC0805KFX5R8BB47</t>
        </is>
      </c>
      <c r="P51" s="3">
        <v>0.39</v>
      </c>
      <c r="Q51" s="3">
        <f>P51*B51</f>
        <v>0.78</v>
      </c>
      <c r="R51">
        <v>19998</v>
      </c>
      <c r="S51" t="inlineStr">
        <is>
          <t xml:space="preserve">Active</t>
        </is>
      </c>
      <c r="T51">
        <v>2</v>
      </c>
      <c r="U51">
        <v>10</v>
      </c>
      <c r="V51" s="3">
        <v>0.17</v>
      </c>
      <c r="W51" s="3">
        <f>V51*U51</f>
        <v>1.7</v>
      </c>
      <c r="X51">
        <v>7.95</v>
      </c>
      <c r="Y51" s="3">
        <f>W51*X51/100</f>
        <v>0.1351</v>
      </c>
      <c r="Z51" s="3">
        <f>W51+Y51</f>
        <v>1.8351</v>
      </c>
    </row>
    <row r="52">
      <c r="A52" t="inlineStr">
        <is>
          <t xml:space="preserve">FLT1</t>
        </is>
      </c>
      <c r="B52">
        <v>1</v>
      </c>
      <c r="C52" t="inlineStr">
        <is>
          <t xml:space="preserve">Red LED, V_f ~ 2.0 V typ, 0603</t>
        </is>
      </c>
      <c r="D52" t="inlineStr">
        <is>
          <t xml:space="preserve">150060RS75000</t>
        </is>
      </c>
      <c r="E52" t="inlineStr">
        <is>
          <t xml:space="preserve">Wurth Elektronik</t>
        </is>
      </c>
      <c r="F52" t="inlineStr">
        <is>
          <t xml:space="preserve">LED_SMD:LED_0603_1608Metric</t>
        </is>
      </c>
      <c r="G52" t="inlineStr">
        <is>
          <t xml:space="preserve">0603</t>
        </is>
      </c>
      <c r="H52" s="2" t="inlineStr">
        <is>
          <t xml:space="preserve">https://www.we-online.com/components/products/datasheet/150060RS75000.pdf</t>
        </is>
      </c>
      <c r="I52" s="2" t="inlineStr">
        <is>
          <t xml:space="preserve">https://www.mouser.com/en/ProductDetail/Wurth-Elektronik/150060RS75000?qs=LlUlMxKIyB3QnmZ3fw%2FVCA%3D%3D</t>
        </is>
      </c>
      <c r="J52" t="inlineStr">
        <is>
          <t xml:space="preserve">Light emitting diode</t>
        </is>
      </c>
      <c r="K52"/>
      <c r="L52" t="inlineStr">
        <is>
          <t xml:space="preserve">Details</t>
        </is>
      </c>
      <c r="M52" t="inlineStr">
        <is>
          <t xml:space="preserve">China</t>
        </is>
      </c>
      <c r="N52" t="inlineStr">
        <is>
          <t xml:space="preserve">Mouser</t>
        </is>
      </c>
      <c r="O52" t="inlineStr">
        <is>
          <t xml:space="preserve">710-150060RS75000</t>
        </is>
      </c>
      <c r="P52" s="3">
        <v>0.16</v>
      </c>
      <c r="Q52" s="3">
        <f>P52*B52</f>
        <v>0.16</v>
      </c>
      <c r="R52">
        <v>368302</v>
      </c>
      <c r="S52" t="inlineStr">
        <is>
          <t xml:space="preserve">Active</t>
        </is>
      </c>
      <c r="T52">
        <v>1</v>
      </c>
      <c r="U52">
        <v>3</v>
      </c>
      <c r="V52" s="3">
        <v>0.16</v>
      </c>
      <c r="W52" s="3">
        <f>V52*U52</f>
        <v>0.48</v>
      </c>
      <c r="X52">
        <v>35</v>
      </c>
      <c r="Y52" s="3">
        <f>W52*X52/100</f>
        <v>0.168</v>
      </c>
      <c r="Z52" s="3">
        <f>W52+Y52</f>
        <v>0.648</v>
      </c>
    </row>
    <row r="53">
      <c r="A53" t="inlineStr">
        <is>
          <t xml:space="preserve">STM32H1</t>
        </is>
      </c>
      <c r="B53">
        <v>1</v>
      </c>
      <c r="C53" t="inlineStr">
        <is>
          <t xml:space="preserve">STM32H753ZIT6</t>
        </is>
      </c>
      <c r="D53" t="inlineStr">
        <is>
          <t xml:space="preserve">STM32H753ZIT6</t>
        </is>
      </c>
      <c r="E53" t="inlineStr">
        <is>
          <t xml:space="preserve">STMicroelectronics</t>
        </is>
      </c>
      <c r="F53" t="inlineStr">
        <is>
          <t xml:space="preserve">Package_QFP:LQFP-144_20x20mm_P0.5mm</t>
        </is>
      </c>
      <c r="G53" t="inlineStr">
        <is>
          <t xml:space="preserve">LQFP-144</t>
        </is>
      </c>
      <c r="H53" s="2" t="inlineStr">
        <is>
          <t xml:space="preserve">https://www.st.com/resource/en/datasheet/stm32h753zi.pdf</t>
        </is>
      </c>
      <c r="I53" s="2" t="inlineStr">
        <is>
          <t xml:space="preserve">https://www.mouser.com/en/ProductDetail/STMicroelectronics/STM32H753ZIT6?qs=u4fy%2FsgLU9PzR9vtNNw%2FMw%3D%3D</t>
        </is>
      </c>
      <c r="J53" t="inlineStr">
        <is>
          <t xml:space="preserve">STMicroelectronics Arm Cortex-M7 MCU, 2048KB flash, 1024KB RAM, 480 MHz, 1.62-3.6V, 114 GPIO, LQFP144</t>
        </is>
      </c>
      <c r="K53"/>
      <c r="L53" t="inlineStr">
        <is>
          <t xml:space="preserve">Details</t>
        </is>
      </c>
      <c r="M53" t="inlineStr">
        <is>
          <t xml:space="preserve">France</t>
        </is>
      </c>
      <c r="N53" t="inlineStr">
        <is>
          <t xml:space="preserve">Mouser</t>
        </is>
      </c>
      <c r="O53" t="inlineStr">
        <is>
          <t xml:space="preserve">511-STM32H753ZIT6</t>
        </is>
      </c>
      <c r="P53" s="3">
        <v>17.13</v>
      </c>
      <c r="Q53" s="3">
        <f>P53*B53</f>
        <v>17.13</v>
      </c>
      <c r="R53">
        <v>14</v>
      </c>
      <c r="S53" t="inlineStr">
        <is>
          <t xml:space="preserve">Active</t>
        </is>
      </c>
      <c r="T53">
        <v>1</v>
      </c>
      <c r="U53">
        <v>3</v>
      </c>
      <c r="V53" s="3">
        <v>17.13</v>
      </c>
      <c r="W53" s="3">
        <f>V53*U53</f>
        <v>51.39</v>
      </c>
      <c r="X53">
        <v>0</v>
      </c>
      <c r="Y53" s="3">
        <f>W53*X53/100</f>
        <v>0</v>
      </c>
      <c r="Z53" s="3">
        <f>W53+Y53</f>
        <v>51.39</v>
      </c>
    </row>
    <row r="54">
      <c r="A54" t="inlineStr">
        <is>
          <t xml:space="preserve">BAT1</t>
        </is>
      </c>
      <c r="B54">
        <v>1</v>
      </c>
      <c r="C54" t="inlineStr">
        <is>
          <t xml:space="preserve">1043 Holder for 18650</t>
        </is>
      </c>
      <c r="D54" t="inlineStr">
        <is>
          <t xml:space="preserve">1043</t>
        </is>
      </c>
      <c r="E54" t="inlineStr">
        <is>
          <t xml:space="preserve">Keystone</t>
        </is>
      </c>
      <c r="F54" t="inlineStr">
        <is>
          <t xml:space="preserve">MyFootprints:BAT_1043</t>
        </is>
      </c>
      <c r="G54"/>
      <c r="H54" s="2" t="inlineStr">
        <is>
          <t xml:space="preserve">https://www.mouser.com/datasheet/3/201/1/1043.pdf</t>
        </is>
      </c>
      <c r="I54" s="2" t="inlineStr">
        <is>
          <t xml:space="preserve">https://www.mouser.com/en/ProductDetail/Keystone-Electronics/1043?qs=%2F7TOpeL5Mz6j%2FnxeOA1rsg%3D%3D</t>
        </is>
      </c>
      <c r="J54" t="inlineStr">
        <is>
          <t xml:space="preserve">Cylindrical Battery Contacts, Clips, Holders &amp; Springs</t>
        </is>
      </c>
      <c r="K54"/>
      <c r="L54" t="inlineStr">
        <is>
          <t xml:space="preserve">Details</t>
        </is>
      </c>
      <c r="M54" t="inlineStr">
        <is>
          <t xml:space="preserve">United States</t>
        </is>
      </c>
      <c r="N54" t="inlineStr">
        <is>
          <t xml:space="preserve">Mouser</t>
        </is>
      </c>
      <c r="O54" t="inlineStr">
        <is>
          <t xml:space="preserve">534-1043</t>
        </is>
      </c>
      <c r="P54" s="3">
        <v>2.99</v>
      </c>
      <c r="Q54" s="3">
        <f>P54*B54</f>
        <v>2.99</v>
      </c>
      <c r="R54">
        <v>9743</v>
      </c>
      <c r="S54" t="inlineStr">
        <is>
          <t xml:space="preserve">Active</t>
        </is>
      </c>
      <c r="T54">
        <v>1</v>
      </c>
      <c r="U54">
        <v>3</v>
      </c>
      <c r="V54" s="3">
        <v>2.99</v>
      </c>
      <c r="W54" s="3">
        <f>V54*U54</f>
        <v>8.97</v>
      </c>
      <c r="X54">
        <v>0</v>
      </c>
      <c r="Y54" s="3">
        <f>W54*X54/100</f>
        <v>0</v>
      </c>
      <c r="Z54" s="3">
        <f>W54+Y54</f>
        <v>8.97</v>
      </c>
    </row>
    <row r="55">
      <c r="A55" t="inlineStr">
        <is>
          <t xml:space="preserve">R25</t>
        </is>
      </c>
      <c r="B55">
        <v>1</v>
      </c>
      <c r="C55" t="inlineStr">
        <is>
          <t xml:space="preserve">258k</t>
        </is>
      </c>
      <c r="D55" t="inlineStr">
        <is>
          <t xml:space="preserve">AC0603FR-07255KL</t>
        </is>
      </c>
      <c r="E55" t="inlineStr">
        <is>
          <t xml:space="preserve">YAGEO</t>
        </is>
      </c>
      <c r="F55" t="inlineStr">
        <is>
          <t xml:space="preserve">Resistor_SMD:R_0603_1608Metric</t>
        </is>
      </c>
      <c r="G55" t="inlineStr">
        <is>
          <t xml:space="preserve">0603</t>
        </is>
      </c>
      <c r="H55" s="2" t="inlineStr">
        <is>
          <t xml:space="preserve">https://www.mouser.com/datasheet/3/508/1/PYu-AC_51_RoHS_L_11.pdf</t>
        </is>
      </c>
      <c r="I55" s="2" t="inlineStr">
        <is>
          <t xml:space="preserve">https://www.mouser.com/en/ProductDetail/YAGEO/AC0603FR-07255KL?qs=ygRr%2FtkhteuHHB%2Fp4hR9tQ%3D%3D</t>
        </is>
      </c>
      <c r="J55" t="inlineStr">
        <is>
          <t xml:space="preserve">Resistor, small symbol</t>
        </is>
      </c>
      <c r="K55" t="inlineStr">
        <is>
          <t xml:space="preserve">yes</t>
        </is>
      </c>
      <c r="L55" t="inlineStr">
        <is>
          <t xml:space="preserve">Details</t>
        </is>
      </c>
      <c r="M55" t="inlineStr">
        <is>
          <t xml:space="preserve">China</t>
        </is>
      </c>
      <c r="N55" t="inlineStr">
        <is>
          <t xml:space="preserve">Mouser</t>
        </is>
      </c>
      <c r="O55" t="inlineStr">
        <is>
          <t xml:space="preserve">603-AC0603FR-07255KL</t>
        </is>
      </c>
      <c r="P55" s="3">
        <v>0.1</v>
      </c>
      <c r="Q55" s="3">
        <f>P55*B55</f>
        <v>0.1</v>
      </c>
      <c r="R55">
        <v>27471</v>
      </c>
      <c r="S55" t="inlineStr">
        <is>
          <t xml:space="preserve">Active</t>
        </is>
      </c>
      <c r="T55">
        <v>1</v>
      </c>
      <c r="U55">
        <v>10</v>
      </c>
      <c r="V55" s="3">
        <v>0.017</v>
      </c>
      <c r="W55" s="3">
        <f>V55*U55</f>
        <v>0.17</v>
      </c>
      <c r="X55">
        <v>30</v>
      </c>
      <c r="Y55" s="3">
        <f>W55*X55/100</f>
        <v>0.051</v>
      </c>
      <c r="Z55" s="3">
        <f>W55+Y55</f>
        <v>0.221</v>
      </c>
    </row>
    <row r="56">
      <c r="A56" t="inlineStr">
        <is>
          <t xml:space="preserve">C43,C52,C55</t>
        </is>
      </c>
      <c r="B56">
        <v>3</v>
      </c>
      <c r="C56" t="inlineStr">
        <is>
          <t xml:space="preserve">10pF</t>
        </is>
      </c>
      <c r="D56" t="inlineStr">
        <is>
          <t xml:space="preserve">CL05C100JB5NNWC</t>
        </is>
      </c>
      <c r="E56" t="inlineStr">
        <is>
          <t xml:space="preserve">Samsung</t>
        </is>
      </c>
      <c r="F56" t="inlineStr">
        <is>
          <t xml:space="preserve">Capacitor_SMD:C_0402_1005Metric</t>
        </is>
      </c>
      <c r="G56" t="inlineStr">
        <is>
          <t xml:space="preserve">0402</t>
        </is>
      </c>
      <c r="H56" s="2" t="inlineStr">
        <is>
          <t xml:space="preserve">https://weblib.samsungsem.com/mlcc/mlcc-ec-data-sheet.do?partNumber=CL05C100JB5NNN</t>
        </is>
      </c>
      <c r="I56" s="2" t="inlineStr">
        <is>
          <t xml:space="preserve">https://www.mouser.com/en/ProductDetail/Samsung-Electro-Mechanics/CL05C100JB5NNWC?qs=CveC9HkIcgk8xP%252BMUb%252BQXw%3D%3D</t>
        </is>
      </c>
      <c r="J56" t="inlineStr">
        <is>
          <t xml:space="preserve">capacitor, small US symbol</t>
        </is>
      </c>
      <c r="K56" t="inlineStr">
        <is>
          <t xml:space="preserve">yes</t>
        </is>
      </c>
      <c r="L56" t="inlineStr">
        <is>
          <t xml:space="preserve">Details</t>
        </is>
      </c>
      <c r="M56" t="inlineStr">
        <is>
          <t xml:space="preserve">Philippines</t>
        </is>
      </c>
      <c r="N56" t="inlineStr">
        <is>
          <t xml:space="preserve">Mouser</t>
        </is>
      </c>
      <c r="O56" t="inlineStr">
        <is>
          <t xml:space="preserve">187-CL05C100JB5NNWC</t>
        </is>
      </c>
      <c r="P56" s="3">
        <v>0.23</v>
      </c>
      <c r="Q56" s="3">
        <f>P56*B56</f>
        <v>0.69</v>
      </c>
      <c r="R56">
        <v>99958</v>
      </c>
      <c r="S56" t="inlineStr">
        <is>
          <t xml:space="preserve">Active</t>
        </is>
      </c>
      <c r="T56">
        <v>3</v>
      </c>
      <c r="U56">
        <v>10</v>
      </c>
      <c r="V56" s="3">
        <v>0.081</v>
      </c>
      <c r="W56" s="3">
        <f>V56*U56</f>
        <v>0.81</v>
      </c>
      <c r="X56">
        <v>7.83</v>
      </c>
      <c r="Y56" s="3">
        <f>W56*X56/100</f>
        <v>0.0634</v>
      </c>
      <c r="Z56" s="3">
        <f>W56+Y56</f>
        <v>0.8734</v>
      </c>
    </row>
    <row r="57">
      <c r="A57" t="inlineStr">
        <is>
          <t xml:space="preserve">OVP1</t>
        </is>
      </c>
      <c r="B57">
        <v>1</v>
      </c>
      <c r="C57" t="inlineStr">
        <is>
          <t xml:space="preserve">TPS3700DDCR</t>
        </is>
      </c>
      <c r="D57" t="inlineStr">
        <is>
          <t xml:space="preserve">TPS3700DDCR2G4</t>
        </is>
      </c>
      <c r="E57" t="inlineStr">
        <is>
          <t xml:space="preserve">Texas Instruments</t>
        </is>
      </c>
      <c r="F57" t="inlineStr">
        <is>
          <t xml:space="preserve">Package_TO_SOT_SMD:SOT-23-6</t>
        </is>
      </c>
      <c r="G57" t="inlineStr">
        <is>
          <t xml:space="preserve">SOT-23-6</t>
        </is>
      </c>
      <c r="H57" s="2" t="inlineStr">
        <is>
          <t xml:space="preserve">https://www.ti.com/lit/gpn/tps3700</t>
        </is>
      </c>
      <c r="I57" s="2" t="inlineStr">
        <is>
          <t xml:space="preserve">https://www.mouser.com/en/ProductDetail/Texas-Instruments/TPS3700DDCR2G4?qs=7%2F6SraaimPQ2iIfCXLqUgg%3D%3D</t>
        </is>
      </c>
      <c r="J57" t="inlineStr">
        <is>
          <t xml:space="preserve">Analog Comparators</t>
        </is>
      </c>
      <c r="K57"/>
      <c r="L57" t="inlineStr">
        <is>
          <t xml:space="preserve">Details</t>
        </is>
      </c>
      <c r="M57" t="inlineStr">
        <is>
          <t xml:space="preserve">Thailand</t>
        </is>
      </c>
      <c r="N57" t="inlineStr">
        <is>
          <t xml:space="preserve">Mouser</t>
        </is>
      </c>
      <c r="O57" t="inlineStr">
        <is>
          <t xml:space="preserve">595-TPS3700DDCR2G4</t>
        </is>
      </c>
      <c r="P57" s="3">
        <v>2.75</v>
      </c>
      <c r="Q57" s="3">
        <f>P57*B57</f>
        <v>2.75</v>
      </c>
      <c r="R57">
        <v>2919</v>
      </c>
      <c r="S57" t="inlineStr">
        <is>
          <t xml:space="preserve">Active</t>
        </is>
      </c>
      <c r="T57">
        <v>1</v>
      </c>
      <c r="U57">
        <v>3</v>
      </c>
      <c r="V57" s="3">
        <v>2.75</v>
      </c>
      <c r="W57" s="3">
        <f>V57*U57</f>
        <v>8.25</v>
      </c>
      <c r="X57">
        <v>0</v>
      </c>
      <c r="Y57" s="3">
        <f>W57*X57/100</f>
        <v>0</v>
      </c>
      <c r="Z57" s="3">
        <f>W57+Y57</f>
        <v>8.25</v>
      </c>
    </row>
    <row r="58">
      <c r="A58" t="inlineStr">
        <is>
          <t xml:space="preserve">R12</t>
        </is>
      </c>
      <c r="B58">
        <v>1</v>
      </c>
      <c r="C58" t="inlineStr">
        <is>
          <t xml:space="preserve">94.2k</t>
        </is>
      </c>
      <c r="D58" t="inlineStr">
        <is>
          <t xml:space="preserve">RT0603BRD0794K2L</t>
        </is>
      </c>
      <c r="E58" t="inlineStr">
        <is>
          <t xml:space="preserve">YAGEO</t>
        </is>
      </c>
      <c r="F58" t="inlineStr">
        <is>
          <t xml:space="preserve">Resistor_SMD:R_0603_1608Metric</t>
        </is>
      </c>
      <c r="G58" t="inlineStr">
        <is>
          <t xml:space="preserve">0603</t>
        </is>
      </c>
      <c r="H58" s="2" t="inlineStr">
        <is>
          <t xml:space="preserve">https://www.mouser.com/datasheet/3/72/1/PYU_RT_1_TO_0_01_ROHS_L.pdf</t>
        </is>
      </c>
      <c r="I58" s="2" t="inlineStr">
        <is>
          <t xml:space="preserve">https://www.mouser.com/en/ProductDetail/YAGEO/RT0603BRD0794K2L?qs=bQfrgN9vNvwe21O8BIcT9A%3D%3D</t>
        </is>
      </c>
      <c r="J58" t="inlineStr">
        <is>
          <t xml:space="preserve">Resistor, small symbol</t>
        </is>
      </c>
      <c r="K58" t="inlineStr">
        <is>
          <t xml:space="preserve">yes</t>
        </is>
      </c>
      <c r="L58" t="inlineStr">
        <is>
          <t xml:space="preserve">Details</t>
        </is>
      </c>
      <c r="M58" t="inlineStr">
        <is>
          <t xml:space="preserve">Taiwan</t>
        </is>
      </c>
      <c r="N58" t="inlineStr">
        <is>
          <t xml:space="preserve">Mouser</t>
        </is>
      </c>
      <c r="O58" t="inlineStr">
        <is>
          <t xml:space="preserve">603-RT0603BRD0794K2L</t>
        </is>
      </c>
      <c r="P58" s="3">
        <v>0.1</v>
      </c>
      <c r="Q58" s="3">
        <f>P58*B58</f>
        <v>0.1</v>
      </c>
      <c r="R58">
        <v>8529</v>
      </c>
      <c r="S58" t="inlineStr">
        <is>
          <t xml:space="preserve">Active</t>
        </is>
      </c>
      <c r="T58">
        <v>1</v>
      </c>
      <c r="U58">
        <v>3</v>
      </c>
      <c r="V58" s="3">
        <v>0.1</v>
      </c>
      <c r="W58" s="3">
        <f>V58*U58</f>
        <v>0.3</v>
      </c>
      <c r="X58">
        <v>8</v>
      </c>
      <c r="Y58" s="3">
        <f>W58*X58/100</f>
        <v>0.024</v>
      </c>
      <c r="Z58" s="3">
        <f>W58+Y58</f>
        <v>0.324</v>
      </c>
    </row>
    <row r="59">
      <c r="A59" t="inlineStr">
        <is>
          <t xml:space="preserve">C12</t>
        </is>
      </c>
      <c r="B59">
        <v>1</v>
      </c>
      <c r="C59" t="inlineStr">
        <is>
          <t xml:space="preserve">22p</t>
        </is>
      </c>
      <c r="D59" t="inlineStr">
        <is>
          <t xml:space="preserve">CL05C220JB5NNNC</t>
        </is>
      </c>
      <c r="E59" t="inlineStr">
        <is>
          <t xml:space="preserve">Samsung</t>
        </is>
      </c>
      <c r="F59" t="inlineStr">
        <is>
          <t xml:space="preserve">Capacitor_SMD:C_0402_1005Metric</t>
        </is>
      </c>
      <c r="G59" t="inlineStr">
        <is>
          <t xml:space="preserve">0402</t>
        </is>
      </c>
      <c r="H59" s="2" t="inlineStr">
        <is>
          <t xml:space="preserve">https://weblib.samsungsem.com/mlcc/mlcc-ec-data-sheet.do?partNumber=CL05C220JB5NNN</t>
        </is>
      </c>
      <c r="I59" s="2" t="inlineStr">
        <is>
          <t xml:space="preserve">https://www.mouser.com/en/ProductDetail/Samsung-Electro-Mechanics/CL05C220JB5NNNC?qs=349EhDEZ59rwk5AXsooX1g%3D%3D</t>
        </is>
      </c>
      <c r="J59" t="inlineStr">
        <is>
          <t xml:space="preserve">capacitor, small US symbol</t>
        </is>
      </c>
      <c r="K59" t="inlineStr">
        <is>
          <t xml:space="preserve">yes</t>
        </is>
      </c>
      <c r="L59" t="inlineStr">
        <is>
          <t xml:space="preserve">Details</t>
        </is>
      </c>
      <c r="M59" t="inlineStr">
        <is>
          <t xml:space="preserve">Philippines</t>
        </is>
      </c>
      <c r="N59" t="inlineStr">
        <is>
          <t xml:space="preserve">Mouser</t>
        </is>
      </c>
      <c r="O59" t="inlineStr">
        <is>
          <t xml:space="preserve">187-CL05C220JB5NNNC</t>
        </is>
      </c>
      <c r="P59" s="3">
        <v>0.1</v>
      </c>
      <c r="Q59" s="3">
        <f>P59*B59</f>
        <v>0.1</v>
      </c>
      <c r="R59">
        <v>101965</v>
      </c>
      <c r="S59" t="inlineStr">
        <is>
          <t xml:space="preserve">Active</t>
        </is>
      </c>
      <c r="T59">
        <v>1</v>
      </c>
      <c r="U59">
        <v>10</v>
      </c>
      <c r="V59" s="3">
        <v>0.021</v>
      </c>
      <c r="W59" s="3">
        <f>V59*U59</f>
        <v>0.21</v>
      </c>
      <c r="X59">
        <v>8</v>
      </c>
      <c r="Y59" s="3">
        <f>W59*X59/100</f>
        <v>0.0168</v>
      </c>
      <c r="Z59" s="3">
        <f>W59+Y59</f>
        <v>0.2268</v>
      </c>
    </row>
    <row r="60">
      <c r="A60" t="inlineStr">
        <is>
          <t xml:space="preserve">LQFP64_DATA_1</t>
        </is>
      </c>
      <c r="B60">
        <v>2</v>
      </c>
      <c r="C60" t="inlineStr">
        <is>
          <t xml:space="preserve">QTH-060-01-X-D-A</t>
        </is>
      </c>
      <c r="D60" t="inlineStr">
        <is>
          <t xml:space="preserve">QTH-060-01-L-D-A</t>
        </is>
      </c>
      <c r="E60" t="inlineStr">
        <is>
          <t xml:space="preserve">Samtec</t>
        </is>
      </c>
      <c r="F60" t="inlineStr">
        <is>
          <t xml:space="preserve">MyFootprints:SAMTEC_QTH-060-01-X-D-A</t>
        </is>
      </c>
      <c r="G60"/>
      <c r="H60" s="2" t="inlineStr">
        <is>
          <t xml:space="preserve">https://www.mouser.com/datasheet/3/85/1/qth.pdf</t>
        </is>
      </c>
      <c r="I60" s="2" t="inlineStr">
        <is>
          <t xml:space="preserve">https://www.mouser.com/en/ProductDetail/Samtec/QTH-060-01-L-D-A?qs=4hHQsd36k317SgTiURd9mA%3D%3D</t>
        </is>
      </c>
      <c r="J60" t="inlineStr">
        <is>
          <t xml:space="preserve">Board to Board &amp; Mezzanine Connectors</t>
        </is>
      </c>
      <c r="K60"/>
      <c r="L60" t="inlineStr">
        <is>
          <t xml:space="preserve">Details</t>
        </is>
      </c>
      <c r="M60" t="inlineStr">
        <is>
          <t xml:space="preserve">Malaysia</t>
        </is>
      </c>
      <c r="N60" t="inlineStr">
        <is>
          <t xml:space="preserve">Mouser</t>
        </is>
      </c>
      <c r="O60" t="inlineStr">
        <is>
          <t xml:space="preserve">200-QTH06001LDA</t>
        </is>
      </c>
      <c r="P60" s="3">
        <v>5.75</v>
      </c>
      <c r="Q60" s="3">
        <f>P60*B60</f>
        <v>11.5</v>
      </c>
      <c r="R60">
        <v>4882</v>
      </c>
      <c r="S60" t="inlineStr">
        <is>
          <t xml:space="preserve">Active</t>
        </is>
      </c>
      <c r="T60">
        <v>2</v>
      </c>
      <c r="U60">
        <v>6</v>
      </c>
      <c r="V60" s="3">
        <v>5.75</v>
      </c>
      <c r="W60" s="3">
        <f>V60*U60</f>
        <v>34.5</v>
      </c>
      <c r="X60">
        <v>8</v>
      </c>
      <c r="Y60" s="3">
        <f>W60*X60/100</f>
        <v>2.76</v>
      </c>
      <c r="Z60" s="3">
        <f>W60+Y60</f>
        <v>37.26</v>
      </c>
    </row>
    <row r="61">
      <c r="A61" t="inlineStr">
        <is>
          <t xml:space="preserve">R45</t>
        </is>
      </c>
      <c r="B61">
        <v>1</v>
      </c>
      <c r="C61" t="inlineStr">
        <is>
          <t xml:space="preserve">31.25k</t>
        </is>
      </c>
      <c r="D61" t="inlineStr">
        <is>
          <t xml:space="preserve">CR0603-FX-3162ELF</t>
        </is>
      </c>
      <c r="E61" t="inlineStr">
        <is>
          <t xml:space="preserve">Bourns</t>
        </is>
      </c>
      <c r="F61" t="inlineStr">
        <is>
          <t xml:space="preserve">Resistor_SMD:R_0603_1608Metric</t>
        </is>
      </c>
      <c r="G61" t="inlineStr">
        <is>
          <t xml:space="preserve">0603</t>
        </is>
      </c>
      <c r="H61" s="2" t="inlineStr">
        <is>
          <t xml:space="preserve">https://www.mouser.com/datasheet/3/40/1/cr.pdf</t>
        </is>
      </c>
      <c r="I61" s="2" t="inlineStr">
        <is>
          <t xml:space="preserve">https://www.mouser.com/en/ProductDetail/Bourns/CR0603-FX-3162ELF?qs=I4suiNu8FYA4%252BNO%252BV%2FGfgA%3D%3D</t>
        </is>
      </c>
      <c r="J61" t="inlineStr">
        <is>
          <t xml:space="preserve">Resistor</t>
        </is>
      </c>
      <c r="K61" t="inlineStr">
        <is>
          <t xml:space="preserve">yes</t>
        </is>
      </c>
      <c r="L61" t="inlineStr">
        <is>
          <t xml:space="preserve">Details</t>
        </is>
      </c>
      <c r="M61" t="inlineStr">
        <is>
          <t xml:space="preserve">Taiwan</t>
        </is>
      </c>
      <c r="N61" t="inlineStr">
        <is>
          <t xml:space="preserve">Mouser</t>
        </is>
      </c>
      <c r="O61" t="inlineStr">
        <is>
          <t xml:space="preserve">652-CR0603FX-3162ELF</t>
        </is>
      </c>
      <c r="P61" s="3">
        <v>0.1</v>
      </c>
      <c r="Q61" s="3">
        <f>P61*B61</f>
        <v>0.1</v>
      </c>
      <c r="R61">
        <v>828379</v>
      </c>
      <c r="S61" t="inlineStr">
        <is>
          <t xml:space="preserve">Active</t>
        </is>
      </c>
      <c r="T61">
        <v>1</v>
      </c>
      <c r="U61">
        <v>10</v>
      </c>
      <c r="V61" s="3">
        <v>0.012</v>
      </c>
      <c r="W61" s="3">
        <f>V61*U61</f>
        <v>0.12</v>
      </c>
      <c r="X61">
        <v>0</v>
      </c>
      <c r="Y61" s="3">
        <f>W61*X61/100</f>
        <v>0</v>
      </c>
      <c r="Z61" s="3">
        <f>W61+Y61</f>
        <v>0.12</v>
      </c>
    </row>
    <row r="62">
      <c r="A62" t="inlineStr">
        <is>
          <t xml:space="preserve">LBK-1</t>
        </is>
      </c>
      <c r="B62">
        <v>1</v>
      </c>
      <c r="C62" t="inlineStr">
        <is>
          <t xml:space="preserve">4.7u</t>
        </is>
      </c>
      <c r="D62" t="inlineStr">
        <is>
          <t xml:space="preserve">SRP7028A-4R7M</t>
        </is>
      </c>
      <c r="E62" t="inlineStr">
        <is>
          <t xml:space="preserve">Bourns</t>
        </is>
      </c>
      <c r="F62" t="inlineStr">
        <is>
          <t xml:space="preserve">Inductor_SMD:L_Bourns_SRP7028A_7.3x6.6mm</t>
        </is>
      </c>
      <c r="G62"/>
      <c r="H62" s="2" t="inlineStr">
        <is>
          <t xml:space="preserve">https://www.mouser.com/datasheet/3/40/1/srp7028a.pdf</t>
        </is>
      </c>
      <c r="I62" s="2" t="inlineStr">
        <is>
          <t xml:space="preserve">https://www.mouser.com/en/ProductDetail/Bourns/SRP7028A-4R7M?qs=7z%252BmIopC6%2FJgdLFz63lL4Q%3D%3D</t>
        </is>
      </c>
      <c r="J62" t="inlineStr">
        <is>
          <t xml:space="preserve">Inductor</t>
        </is>
      </c>
      <c r="K62"/>
      <c r="L62" t="inlineStr">
        <is>
          <t xml:space="preserve">Details</t>
        </is>
      </c>
      <c r="M62" t="inlineStr">
        <is>
          <t xml:space="preserve">China</t>
        </is>
      </c>
      <c r="N62" t="inlineStr">
        <is>
          <t xml:space="preserve">Mouser</t>
        </is>
      </c>
      <c r="O62" t="inlineStr">
        <is>
          <t xml:space="preserve">652-SRP7028A-4R7M</t>
        </is>
      </c>
      <c r="P62" s="3">
        <v>1.1</v>
      </c>
      <c r="Q62" s="3">
        <f>P62*B62</f>
        <v>1.1</v>
      </c>
      <c r="R62">
        <v>16159</v>
      </c>
      <c r="S62" t="inlineStr">
        <is>
          <t xml:space="preserve">Active</t>
        </is>
      </c>
      <c r="T62">
        <v>1</v>
      </c>
      <c r="U62">
        <v>3</v>
      </c>
      <c r="V62" s="3">
        <v>1.1</v>
      </c>
      <c r="W62" s="3">
        <f>V62*U62</f>
        <v>3.3</v>
      </c>
      <c r="X62">
        <v>8</v>
      </c>
      <c r="Y62" s="3">
        <f>W62*X62/100</f>
        <v>0.264</v>
      </c>
      <c r="Z62" s="3">
        <f>W62+Y62</f>
        <v>3.564</v>
      </c>
    </row>
    <row r="63">
      <c r="A63" t="inlineStr">
        <is>
          <t xml:space="preserve">PWR_MUX1</t>
        </is>
      </c>
      <c r="B63">
        <v>1</v>
      </c>
      <c r="C63" t="inlineStr">
        <is>
          <t xml:space="preserve">TPS2121RUXR</t>
        </is>
      </c>
      <c r="D63" t="inlineStr">
        <is>
          <t xml:space="preserve">TPS2121RUXR</t>
        </is>
      </c>
      <c r="E63" t="inlineStr">
        <is>
          <t xml:space="preserve">TEXAS INSTRUMENTS</t>
        </is>
      </c>
      <c r="F63" t="inlineStr">
        <is>
          <t xml:space="preserve">MyFootprints:IC_TPS2121RUXR</t>
        </is>
      </c>
      <c r="G63" t="inlineStr">
        <is>
          <t xml:space="preserve">VQFN-12</t>
        </is>
      </c>
      <c r="H63" s="2" t="inlineStr">
        <is>
          <t xml:space="preserve">https://www.ti.com/lit/gpn/tps2121</t>
        </is>
      </c>
      <c r="I63" s="2" t="inlineStr">
        <is>
          <t xml:space="preserve">https://www.mouser.com/en/ProductDetail/Texas-Instruments/TPS2121RUXR?qs=qSfuJ%252Bfl%2Fd7dCYiVnUfngQ%3D%3D</t>
        </is>
      </c>
      <c r="J63" t="inlineStr">
        <is>
          <t xml:space="preserve">Power Switch ICs - Power Distribution</t>
        </is>
      </c>
      <c r="K63"/>
      <c r="L63" t="inlineStr">
        <is>
          <t xml:space="preserve">Details</t>
        </is>
      </c>
      <c r="M63" t="inlineStr">
        <is>
          <t xml:space="preserve">Philippines</t>
        </is>
      </c>
      <c r="N63" t="inlineStr">
        <is>
          <t xml:space="preserve">Mouser</t>
        </is>
      </c>
      <c r="O63" t="inlineStr">
        <is>
          <t xml:space="preserve">595-TPS2121RUXR</t>
        </is>
      </c>
      <c r="P63" s="3">
        <v>2.44</v>
      </c>
      <c r="Q63" s="3">
        <f>P63*B63</f>
        <v>2.44</v>
      </c>
      <c r="R63">
        <v>14155</v>
      </c>
      <c r="S63" t="inlineStr">
        <is>
          <t xml:space="preserve">Active</t>
        </is>
      </c>
      <c r="T63">
        <v>1</v>
      </c>
      <c r="U63">
        <v>3</v>
      </c>
      <c r="V63" s="3">
        <v>2.44</v>
      </c>
      <c r="W63" s="3">
        <f>V63*U63</f>
        <v>7.32</v>
      </c>
      <c r="X63">
        <v>0</v>
      </c>
      <c r="Y63" s="3">
        <f>W63*X63/100</f>
        <v>0</v>
      </c>
      <c r="Z63" s="3">
        <f>W63+Y63</f>
        <v>7.32</v>
      </c>
    </row>
    <row r="64">
      <c r="A64" t="inlineStr">
        <is>
          <t xml:space="preserve">R32</t>
        </is>
      </c>
      <c r="B64">
        <v>1</v>
      </c>
      <c r="C64" t="inlineStr">
        <is>
          <t xml:space="preserve">44.2k</t>
        </is>
      </c>
      <c r="D64" t="inlineStr">
        <is>
          <t xml:space="preserve">CR0603-FX-4422ELF</t>
        </is>
      </c>
      <c r="E64" t="inlineStr">
        <is>
          <t xml:space="preserve">Bourns</t>
        </is>
      </c>
      <c r="F64" t="inlineStr">
        <is>
          <t xml:space="preserve">Resistor_SMD:R_0603_1608Metric</t>
        </is>
      </c>
      <c r="G64" t="inlineStr">
        <is>
          <t xml:space="preserve">0603</t>
        </is>
      </c>
      <c r="H64" s="2" t="inlineStr">
        <is>
          <t xml:space="preserve">https://www.mouser.com/datasheet/3/40/1/cr.pdf</t>
        </is>
      </c>
      <c r="I64" s="2" t="inlineStr">
        <is>
          <t xml:space="preserve">https://www.mouser.com/en/ProductDetail/Bourns/CR0603-FX-4422ELF?qs=CCIlxZRRv7iL770YaT7glg%3D%3D</t>
        </is>
      </c>
      <c r="J64" t="inlineStr">
        <is>
          <t xml:space="preserve">Resistor, small symbol</t>
        </is>
      </c>
      <c r="K64" t="inlineStr">
        <is>
          <t xml:space="preserve">yes</t>
        </is>
      </c>
      <c r="L64" t="inlineStr">
        <is>
          <t xml:space="preserve">Details</t>
        </is>
      </c>
      <c r="M64" t="inlineStr">
        <is>
          <t xml:space="preserve">Taiwan</t>
        </is>
      </c>
      <c r="N64" t="inlineStr">
        <is>
          <t xml:space="preserve">Mouser</t>
        </is>
      </c>
      <c r="O64" t="inlineStr">
        <is>
          <t xml:space="preserve">652-CR0603FX-4422ELF</t>
        </is>
      </c>
      <c r="P64" s="3">
        <v>0.1</v>
      </c>
      <c r="Q64" s="3">
        <f>P64*B64</f>
        <v>0.1</v>
      </c>
      <c r="R64">
        <v>331725</v>
      </c>
      <c r="S64" t="inlineStr">
        <is>
          <t xml:space="preserve">Active</t>
        </is>
      </c>
      <c r="T64">
        <v>1</v>
      </c>
      <c r="U64">
        <v>10</v>
      </c>
      <c r="V64" s="3">
        <v>0.016</v>
      </c>
      <c r="W64" s="3">
        <f>V64*U64</f>
        <v>0.16</v>
      </c>
      <c r="X64">
        <v>0</v>
      </c>
      <c r="Y64" s="3">
        <f>W64*X64/100</f>
        <v>0</v>
      </c>
      <c r="Z64" s="3">
        <f>W64+Y64</f>
        <v>0.16</v>
      </c>
    </row>
    <row r="65">
      <c r="A65" t="inlineStr">
        <is>
          <t xml:space="preserve">C25</t>
        </is>
      </c>
      <c r="B65">
        <v>1</v>
      </c>
      <c r="C65" t="inlineStr">
        <is>
          <t xml:space="preserve">3.3n</t>
        </is>
      </c>
      <c r="D65" t="inlineStr">
        <is>
          <t xml:space="preserve">CL05B332KB5NNWC</t>
        </is>
      </c>
      <c r="E65" t="inlineStr">
        <is>
          <t xml:space="preserve">Samsung</t>
        </is>
      </c>
      <c r="F65" t="inlineStr">
        <is>
          <t xml:space="preserve">Capacitor_SMD:C_0402_1005Metric</t>
        </is>
      </c>
      <c r="G65" t="inlineStr">
        <is>
          <t xml:space="preserve">0402</t>
        </is>
      </c>
      <c r="H65" s="2" t="inlineStr">
        <is>
          <t xml:space="preserve">https://weblib.samsungsem.com/mlcc/mlcc-ec-data-sheet.do?partNumber=CL05B332KB5NNN</t>
        </is>
      </c>
      <c r="I65" s="2" t="inlineStr">
        <is>
          <t xml:space="preserve">https://www.mouser.com/en/ProductDetail/Samsung-Electro-Mechanics/CL05B332KB5NNWC?qs=xZ%2FP%252Ba9zWqZqGlb3MDMYXQ%3D%3D</t>
        </is>
      </c>
      <c r="J65" t="inlineStr">
        <is>
          <t xml:space="preserve">capacitor, small US symbol</t>
        </is>
      </c>
      <c r="K65" t="inlineStr">
        <is>
          <t xml:space="preserve">yes</t>
        </is>
      </c>
      <c r="L65" t="inlineStr">
        <is>
          <t xml:space="preserve">Details</t>
        </is>
      </c>
      <c r="M65" t="inlineStr">
        <is>
          <t xml:space="preserve">China</t>
        </is>
      </c>
      <c r="N65" t="inlineStr">
        <is>
          <t xml:space="preserve">Mouser</t>
        </is>
      </c>
      <c r="O65" t="inlineStr">
        <is>
          <t xml:space="preserve">187-CL05B332KB5NNWC</t>
        </is>
      </c>
      <c r="P65" s="3">
        <v>0.1</v>
      </c>
      <c r="Q65" s="3">
        <f>P65*B65</f>
        <v>0.1</v>
      </c>
      <c r="R65">
        <v>80721</v>
      </c>
      <c r="S65" t="inlineStr">
        <is>
          <t xml:space="preserve">Active</t>
        </is>
      </c>
      <c r="T65">
        <v>1</v>
      </c>
      <c r="U65">
        <v>10</v>
      </c>
      <c r="V65" s="3">
        <v>0.013</v>
      </c>
      <c r="W65" s="3">
        <f>V65*U65</f>
        <v>0.13</v>
      </c>
      <c r="X65">
        <v>10</v>
      </c>
      <c r="Y65" s="3">
        <f>W65*X65/100</f>
        <v>0.013</v>
      </c>
      <c r="Z65" s="3">
        <f>W65+Y65</f>
        <v>0.143</v>
      </c>
    </row>
    <row r="66">
      <c r="A66" t="inlineStr">
        <is>
          <t xml:space="preserve">R49</t>
        </is>
      </c>
      <c r="B66">
        <v>1</v>
      </c>
      <c r="C66" t="inlineStr">
        <is>
          <t xml:space="preserve">220</t>
        </is>
      </c>
      <c r="D66" t="inlineStr">
        <is>
          <t xml:space="preserve">ERJ-3GEYJ221V</t>
        </is>
      </c>
      <c r="E66" t="inlineStr">
        <is>
          <t xml:space="preserve">Panasonic</t>
        </is>
      </c>
      <c r="F66" t="inlineStr">
        <is>
          <t xml:space="preserve">Resistor_SMD:R_0603_1608Metric</t>
        </is>
      </c>
      <c r="G66" t="inlineStr">
        <is>
          <t xml:space="preserve">0603</t>
        </is>
      </c>
      <c r="H66" s="2" t="inlineStr">
        <is>
          <t xml:space="preserve">https://industrial.panasonic.com/cdbs/www-data/pdf/RDO0000/RDO0000C334.pdf</t>
        </is>
      </c>
      <c r="I66" s="2" t="inlineStr">
        <is>
          <t xml:space="preserve">https://www.mouser.com/en/ProductDetail/Panasonic/ERJ-3GEYJ221V?qs=4WZYzuGhm5qHCFSN9go8VQ%3D%3D</t>
        </is>
      </c>
      <c r="J66" t="inlineStr">
        <is>
          <t xml:space="preserve">Resistor</t>
        </is>
      </c>
      <c r="K66" t="inlineStr">
        <is>
          <t xml:space="preserve">yes</t>
        </is>
      </c>
      <c r="L66" t="inlineStr">
        <is>
          <t xml:space="preserve">Details</t>
        </is>
      </c>
      <c r="M66" t="inlineStr">
        <is>
          <t xml:space="preserve">China</t>
        </is>
      </c>
      <c r="N66" t="inlineStr">
        <is>
          <t xml:space="preserve">Mouser</t>
        </is>
      </c>
      <c r="O66" t="inlineStr">
        <is>
          <t xml:space="preserve">667-ERJ-3GEYJ221V</t>
        </is>
      </c>
      <c r="P66" s="3">
        <v>0.1</v>
      </c>
      <c r="Q66" s="3">
        <f>P66*B66</f>
        <v>0.1</v>
      </c>
      <c r="R66">
        <v>41255</v>
      </c>
      <c r="S66" t="inlineStr">
        <is>
          <t xml:space="preserve">Active</t>
        </is>
      </c>
      <c r="T66">
        <v>1</v>
      </c>
      <c r="U66">
        <v>10</v>
      </c>
      <c r="V66" s="3">
        <v>0.023</v>
      </c>
      <c r="W66" s="3">
        <f>V66*U66</f>
        <v>0.23</v>
      </c>
      <c r="X66">
        <v>8</v>
      </c>
      <c r="Y66" s="3">
        <f>W66*X66/100</f>
        <v>0.0184</v>
      </c>
      <c r="Z66" s="3">
        <f>W66+Y66</f>
        <v>0.2484</v>
      </c>
    </row>
    <row r="67">
      <c r="A67" t="inlineStr">
        <is>
          <t xml:space="preserve">R48</t>
        </is>
      </c>
      <c r="B67">
        <v>1</v>
      </c>
      <c r="C67" t="inlineStr">
        <is>
          <t xml:space="preserve">10k</t>
        </is>
      </c>
      <c r="D67" t="inlineStr">
        <is>
          <t xml:space="preserve">RC0402FR-0710KL</t>
        </is>
      </c>
      <c r="E67" t="inlineStr">
        <is>
          <t xml:space="preserve">YAGEO</t>
        </is>
      </c>
      <c r="F67" t="inlineStr">
        <is>
          <t xml:space="preserve">Resistor_SMD:R_0402_1005Metric</t>
        </is>
      </c>
      <c r="G67" t="inlineStr">
        <is>
          <t xml:space="preserve">0402</t>
        </is>
      </c>
      <c r="H67" s="2" t="inlineStr">
        <is>
          <t xml:space="preserve">https://www.mouser.com/catalog/specsheets/YAGEO_PYu_RC_Group_51_RoHS_L_12.pdf</t>
        </is>
      </c>
      <c r="I67" s="2" t="inlineStr">
        <is>
          <t xml:space="preserve">https://www.mouser.com/en/ProductDetail/YAGEO/RC0402FR-0710KL?qs=I1mnnYJTTsxUoNwrUsQExA%3D%3D</t>
        </is>
      </c>
      <c r="J67" t="inlineStr">
        <is>
          <t xml:space="preserve">Resistor, small symbol</t>
        </is>
      </c>
      <c r="K67" t="inlineStr">
        <is>
          <t xml:space="preserve">yes</t>
        </is>
      </c>
      <c r="L67" t="inlineStr">
        <is>
          <t xml:space="preserve">Details</t>
        </is>
      </c>
      <c r="M67" t="inlineStr">
        <is>
          <t xml:space="preserve">Taiwan</t>
        </is>
      </c>
      <c r="N67" t="inlineStr">
        <is>
          <t xml:space="preserve">Mouser</t>
        </is>
      </c>
      <c r="O67" t="inlineStr">
        <is>
          <t xml:space="preserve">603-RC0402FR-0710KL</t>
        </is>
      </c>
      <c r="P67" s="3">
        <v>0.1</v>
      </c>
      <c r="Q67" s="3">
        <f>P67*B67</f>
        <v>0.1</v>
      </c>
      <c r="R67">
        <v>6731048</v>
      </c>
      <c r="S67" t="inlineStr">
        <is>
          <t xml:space="preserve">Active</t>
        </is>
      </c>
      <c r="T67">
        <v>1</v>
      </c>
      <c r="U67">
        <v>10</v>
      </c>
      <c r="V67" s="3">
        <v>0.009</v>
      </c>
      <c r="W67" s="3">
        <f>V67*U67</f>
        <v>0.09</v>
      </c>
      <c r="X67">
        <v>8</v>
      </c>
      <c r="Y67" s="3">
        <f>W67*X67/100</f>
        <v>0.0072</v>
      </c>
      <c r="Z67" s="3">
        <f>W67+Y67</f>
        <v>0.0972</v>
      </c>
    </row>
    <row r="68">
      <c r="A68" t="inlineStr">
        <is>
          <t xml:space="preserve">U-ESD1</t>
        </is>
      </c>
      <c r="B68">
        <v>1</v>
      </c>
      <c r="C68" t="inlineStr">
        <is>
          <t xml:space="preserve">TPD2E009DRTR</t>
        </is>
      </c>
      <c r="D68" t="inlineStr">
        <is>
          <t xml:space="preserve">TPD2E009DBZR</t>
        </is>
      </c>
      <c r="E68" t="inlineStr">
        <is>
          <t xml:space="preserve">Texas Instruments</t>
        </is>
      </c>
      <c r="F68" t="inlineStr">
        <is>
          <t xml:space="preserve">Package_TO_SOT_SMD:SOT-23-3</t>
        </is>
      </c>
      <c r="G68" t="inlineStr">
        <is>
          <t xml:space="preserve">SC-59-3</t>
        </is>
      </c>
      <c r="H68" s="2" t="inlineStr">
        <is>
          <t xml:space="preserve">https://www.ti.com/lit/gpn/tpd2e009</t>
        </is>
      </c>
      <c r="I68" s="2" t="inlineStr">
        <is>
          <t xml:space="preserve">https://www.mouser.com/en/ProductDetail/Texas-Instruments/TPD2E009DBZR?qs=XGzIaZb%2FFYIsL3UFh35JpQ%3D%3D</t>
        </is>
      </c>
      <c r="J68" t="inlineStr">
        <is>
          <t xml:space="preserve">ESD Protection Diodes / TVS Diodes</t>
        </is>
      </c>
      <c r="K68"/>
      <c r="L68" t="inlineStr">
        <is>
          <t xml:space="preserve">Details</t>
        </is>
      </c>
      <c r="M68" t="inlineStr">
        <is>
          <t xml:space="preserve">Thailand</t>
        </is>
      </c>
      <c r="N68" t="inlineStr">
        <is>
          <t xml:space="preserve">Mouser</t>
        </is>
      </c>
      <c r="O68" t="inlineStr">
        <is>
          <t xml:space="preserve">595-TPD2E009DBZR</t>
        </is>
      </c>
      <c r="P68" s="3">
        <v>0.79</v>
      </c>
      <c r="Q68" s="3">
        <f>P68*B68</f>
        <v>0.79</v>
      </c>
      <c r="R68">
        <v>4367</v>
      </c>
      <c r="S68" t="inlineStr">
        <is>
          <t xml:space="preserve">Active</t>
        </is>
      </c>
      <c r="T68">
        <v>1</v>
      </c>
      <c r="U68">
        <v>3</v>
      </c>
      <c r="V68" s="3">
        <v>0.79</v>
      </c>
      <c r="W68" s="3">
        <f>V68*U68</f>
        <v>2.37</v>
      </c>
      <c r="X68">
        <v>0</v>
      </c>
      <c r="Y68" s="3">
        <f>W68*X68/100</f>
        <v>0</v>
      </c>
      <c r="Z68" s="3">
        <f>W68+Y68</f>
        <v>2.37</v>
      </c>
    </row>
    <row r="69">
      <c r="A69" t="inlineStr">
        <is>
          <t xml:space="preserve">OCP1</t>
        </is>
      </c>
      <c r="B69">
        <v>1</v>
      </c>
      <c r="C69" t="inlineStr">
        <is>
          <t xml:space="preserve">MAX4995BAUT_T</t>
        </is>
      </c>
      <c r="D69" t="inlineStr">
        <is>
          <t xml:space="preserve">MAX4995BAUT+T</t>
        </is>
      </c>
      <c r="E69" t="inlineStr">
        <is>
          <t xml:space="preserve">Analog Devices Inc.</t>
        </is>
      </c>
      <c r="F69" t="inlineStr">
        <is>
          <t xml:space="preserve">MyFootprints:SOT95P280X145-6N</t>
        </is>
      </c>
      <c r="G69" t="inlineStr">
        <is>
          <t xml:space="preserve">SOT-23-6</t>
        </is>
      </c>
      <c r="H69" s="2" t="inlineStr">
        <is>
          <t xml:space="preserve">https://www.analog.com/MAX4995B/datasheet</t>
        </is>
      </c>
      <c r="I69" s="2" t="inlineStr">
        <is>
          <t xml:space="preserve">https://www.mouser.com/en/ProductDetail/Analog-Devices-Maxim-Integrated/MAX4995BAUT%2bT?qs=7H2Jq%252ByxpJLB5kcRV%252By2dw%3D%3D</t>
        </is>
      </c>
      <c r="J69" t="inlineStr">
        <is>
          <t xml:space="preserve">Power Switch ICs - Power Distribution</t>
        </is>
      </c>
      <c r="K69"/>
      <c r="L69" t="inlineStr">
        <is>
          <t xml:space="preserve">Details</t>
        </is>
      </c>
      <c r="M69" t="inlineStr">
        <is>
          <t xml:space="preserve">Thailand</t>
        </is>
      </c>
      <c r="N69" t="inlineStr">
        <is>
          <t xml:space="preserve">Mouser</t>
        </is>
      </c>
      <c r="O69" t="inlineStr">
        <is>
          <t xml:space="preserve">700-MAX4995BAUTT</t>
        </is>
      </c>
      <c r="P69" s="3">
        <v>6.99</v>
      </c>
      <c r="Q69" s="3">
        <f>P69*B69</f>
        <v>6.99</v>
      </c>
      <c r="R69">
        <v>3744</v>
      </c>
      <c r="S69" t="inlineStr">
        <is>
          <t xml:space="preserve">Active</t>
        </is>
      </c>
      <c r="T69">
        <v>1</v>
      </c>
      <c r="U69">
        <v>3</v>
      </c>
      <c r="V69" s="3">
        <v>6.99</v>
      </c>
      <c r="W69" s="3">
        <f>V69*U69</f>
        <v>20.97</v>
      </c>
      <c r="X69">
        <v>0</v>
      </c>
      <c r="Y69" s="3">
        <f>W69*X69/100</f>
        <v>0</v>
      </c>
      <c r="Z69" s="3">
        <f>W69+Y69</f>
        <v>20.97</v>
      </c>
    </row>
    <row r="70">
      <c r="A70" t="inlineStr">
        <is>
          <t xml:space="preserve">R11,R13</t>
        </is>
      </c>
      <c r="B70">
        <v>2</v>
      </c>
      <c r="C70" t="inlineStr">
        <is>
          <t xml:space="preserve">330</t>
        </is>
      </c>
      <c r="D70" t="inlineStr">
        <is>
          <t xml:space="preserve">CR0603-FX-3300ELF</t>
        </is>
      </c>
      <c r="E70" t="inlineStr">
        <is>
          <t xml:space="preserve">Bourns</t>
        </is>
      </c>
      <c r="F70" t="inlineStr">
        <is>
          <t xml:space="preserve">Resistor_SMD:R_0603_1608Metric</t>
        </is>
      </c>
      <c r="G70" t="inlineStr">
        <is>
          <t xml:space="preserve">0603</t>
        </is>
      </c>
      <c r="H70" s="2" t="inlineStr">
        <is>
          <t xml:space="preserve">https://www.mouser.com/datasheet/3/40/1/cr.pdf</t>
        </is>
      </c>
      <c r="I70" s="2" t="inlineStr">
        <is>
          <t xml:space="preserve">https://www.mouser.com/en/ProductDetail/Bourns/CR0603-FX-3300ELF?qs=I4suiNu8FYB0EfszDEV%252BGw%3D%3D</t>
        </is>
      </c>
      <c r="J70" t="inlineStr">
        <is>
          <t xml:space="preserve">Resistor</t>
        </is>
      </c>
      <c r="K70" t="inlineStr">
        <is>
          <t xml:space="preserve">yes</t>
        </is>
      </c>
      <c r="L70" t="inlineStr">
        <is>
          <t xml:space="preserve">Details</t>
        </is>
      </c>
      <c r="M70" t="inlineStr">
        <is>
          <t xml:space="preserve">Taiwan</t>
        </is>
      </c>
      <c r="N70" t="inlineStr">
        <is>
          <t xml:space="preserve">Mouser</t>
        </is>
      </c>
      <c r="O70" t="inlineStr">
        <is>
          <t xml:space="preserve">652-CR0603FX-3300ELF</t>
        </is>
      </c>
      <c r="P70" s="3">
        <v>0.1</v>
      </c>
      <c r="Q70" s="3">
        <f>P70*B70</f>
        <v>0.2</v>
      </c>
      <c r="R70">
        <v>1487770</v>
      </c>
      <c r="S70" t="inlineStr">
        <is>
          <t xml:space="preserve">Active</t>
        </is>
      </c>
      <c r="T70">
        <v>2</v>
      </c>
      <c r="U70">
        <v>10</v>
      </c>
      <c r="V70" s="3">
        <v>0.012</v>
      </c>
      <c r="W70" s="3">
        <f>V70*U70</f>
        <v>0.12</v>
      </c>
      <c r="X70">
        <v>0</v>
      </c>
      <c r="Y70" s="3">
        <f>W70*X70/100</f>
        <v>0</v>
      </c>
      <c r="Z70" s="3">
        <f>W70+Y70</f>
        <v>0.12</v>
      </c>
    </row>
    <row r="71">
      <c r="A71" t="inlineStr">
        <is>
          <t xml:space="preserve">BOOT0_LED1</t>
        </is>
      </c>
      <c r="B71">
        <v>1</v>
      </c>
      <c r="C71" t="inlineStr">
        <is>
          <t xml:space="preserve">LED</t>
        </is>
      </c>
      <c r="D71" t="inlineStr">
        <is>
          <t xml:space="preserve">150060GS75000</t>
        </is>
      </c>
      <c r="E71" t="inlineStr">
        <is>
          <t xml:space="preserve">Wurth Elektronik</t>
        </is>
      </c>
      <c r="F71" t="inlineStr">
        <is>
          <t xml:space="preserve">LED_SMD:LED_0603_1608Metric</t>
        </is>
      </c>
      <c r="G71" t="inlineStr">
        <is>
          <t xml:space="preserve">0603</t>
        </is>
      </c>
      <c r="H71" s="2" t="inlineStr">
        <is>
          <t xml:space="preserve">https://www.we-online.com/components/products/datasheet/150060GS75000.pdf</t>
        </is>
      </c>
      <c r="I71" s="2" t="inlineStr">
        <is>
          <t xml:space="preserve">https://www.mouser.com/en/ProductDetail/Wurth-Elektronik/150060GS75000?qs=LlUlMxKIyB0UYkq5lDO8nA%3D%3D</t>
        </is>
      </c>
      <c r="J71" t="inlineStr">
        <is>
          <t xml:space="preserve">Light emitting diode</t>
        </is>
      </c>
      <c r="K71"/>
      <c r="L71" t="inlineStr">
        <is>
          <t xml:space="preserve">Details</t>
        </is>
      </c>
      <c r="M71" t="inlineStr">
        <is>
          <t xml:space="preserve">China</t>
        </is>
      </c>
      <c r="N71" t="inlineStr">
        <is>
          <t xml:space="preserve">Mouser</t>
        </is>
      </c>
      <c r="O71" t="inlineStr">
        <is>
          <t xml:space="preserve">710-150060GS75000</t>
        </is>
      </c>
      <c r="P71" s="3">
        <v>0.16</v>
      </c>
      <c r="Q71" s="3">
        <f>P71*B71</f>
        <v>0.16</v>
      </c>
      <c r="R71">
        <v>146444</v>
      </c>
      <c r="S71" t="inlineStr">
        <is>
          <t xml:space="preserve">Active</t>
        </is>
      </c>
      <c r="T71">
        <v>1</v>
      </c>
      <c r="U71">
        <v>3</v>
      </c>
      <c r="V71" s="3">
        <v>0.16</v>
      </c>
      <c r="W71" s="3">
        <f>V71*U71</f>
        <v>0.48</v>
      </c>
      <c r="X71">
        <v>35</v>
      </c>
      <c r="Y71" s="3">
        <f>W71*X71/100</f>
        <v>0.168</v>
      </c>
      <c r="Z71" s="3">
        <f>W71+Y71</f>
        <v>0.648</v>
      </c>
    </row>
    <row r="72">
      <c r="A72" t="inlineStr">
        <is>
          <t xml:space="preserve">R30</t>
        </is>
      </c>
      <c r="B72">
        <v>1</v>
      </c>
      <c r="C72" t="inlineStr">
        <is>
          <t xml:space="preserve">680</t>
        </is>
      </c>
      <c r="D72" t="inlineStr">
        <is>
          <t xml:space="preserve">CR0603-FX-6800ELF</t>
        </is>
      </c>
      <c r="E72" t="inlineStr">
        <is>
          <t xml:space="preserve">Bourns</t>
        </is>
      </c>
      <c r="F72" t="inlineStr">
        <is>
          <t xml:space="preserve">Resistor_SMD:R_0603_1608Metric</t>
        </is>
      </c>
      <c r="G72" t="inlineStr">
        <is>
          <t xml:space="preserve">0603</t>
        </is>
      </c>
      <c r="H72" s="2" t="inlineStr">
        <is>
          <t xml:space="preserve">https://www.mouser.com/datasheet/3/40/1/cr.pdf</t>
        </is>
      </c>
      <c r="I72" s="2" t="inlineStr">
        <is>
          <t xml:space="preserve">https://www.mouser.com/en/ProductDetail/Bourns/CR0603-FX-6800ELF?qs=0nF2VnfAjXlQv%252B4gY05i1Q%3D%3D</t>
        </is>
      </c>
      <c r="J72" t="inlineStr">
        <is>
          <t xml:space="preserve">Resistor, small symbol</t>
        </is>
      </c>
      <c r="K72" t="inlineStr">
        <is>
          <t xml:space="preserve">yes</t>
        </is>
      </c>
      <c r="L72" t="inlineStr">
        <is>
          <t xml:space="preserve">Details</t>
        </is>
      </c>
      <c r="M72" t="inlineStr">
        <is>
          <t xml:space="preserve">Taiwan</t>
        </is>
      </c>
      <c r="N72" t="inlineStr">
        <is>
          <t xml:space="preserve">Mouser</t>
        </is>
      </c>
      <c r="O72" t="inlineStr">
        <is>
          <t xml:space="preserve">652-CR0603FX-6800ELF</t>
        </is>
      </c>
      <c r="P72" s="3">
        <v>0.1</v>
      </c>
      <c r="Q72" s="3">
        <f>P72*B72</f>
        <v>0.1</v>
      </c>
      <c r="R72">
        <v>971001</v>
      </c>
      <c r="S72" t="inlineStr">
        <is>
          <t xml:space="preserve">Active</t>
        </is>
      </c>
      <c r="T72">
        <v>1</v>
      </c>
      <c r="U72">
        <v>10</v>
      </c>
      <c r="V72" s="3">
        <v>0.011</v>
      </c>
      <c r="W72" s="3">
        <f>V72*U72</f>
        <v>0.11</v>
      </c>
      <c r="X72">
        <v>0</v>
      </c>
      <c r="Y72" s="3">
        <f>W72*X72/100</f>
        <v>0</v>
      </c>
      <c r="Z72" s="3">
        <f>W72+Y72</f>
        <v>0.11</v>
      </c>
    </row>
    <row r="73">
      <c r="A73" t="inlineStr">
        <is>
          <t xml:space="preserve">BUF1,BUF2,BUF3,BUF4,BUF5,BUF6,BUF7,BUF8,BUF9,BUF10,BUF11,BUF12</t>
        </is>
      </c>
      <c r="B73">
        <v>12</v>
      </c>
      <c r="C73" t="inlineStr">
        <is>
          <t xml:space="preserve">74AHC1G125</t>
        </is>
      </c>
      <c r="D73" t="inlineStr">
        <is>
          <t xml:space="preserve">SN74AHC1G125DRLR</t>
        </is>
      </c>
      <c r="E73" t="inlineStr">
        <is>
          <t xml:space="preserve">Texas Instruments</t>
        </is>
      </c>
      <c r="F73" t="inlineStr">
        <is>
          <t xml:space="preserve">Package_TO_SOT_SMD:SOT-553</t>
        </is>
      </c>
      <c r="G73" t="inlineStr">
        <is>
          <t xml:space="preserve">SOT-5X3-5</t>
        </is>
      </c>
      <c r="H73" s="2" t="inlineStr">
        <is>
          <t xml:space="preserve">http://www.ti.com/lit/sg/scyt129e/scyt129e.pdf</t>
        </is>
      </c>
      <c r="I73" s="2" t="inlineStr">
        <is>
          <t xml:space="preserve">https://www.mouser.com/en/ProductDetail/Texas-Instruments/SN74AHC1G125DRLR?qs=NvrC5vRk3q5L7MSRMAsCMg%3D%3D</t>
        </is>
      </c>
      <c r="J73" t="inlineStr">
        <is>
          <t xml:space="preserve">Single Buffer Gate Tri-State, Low-Voltage CMOS</t>
        </is>
      </c>
      <c r="K73"/>
      <c r="L73" t="inlineStr">
        <is>
          <t xml:space="preserve">Details</t>
        </is>
      </c>
      <c r="M73" t="inlineStr">
        <is>
          <t xml:space="preserve">Thailand</t>
        </is>
      </c>
      <c r="N73" t="inlineStr">
        <is>
          <t xml:space="preserve">Mouser</t>
        </is>
      </c>
      <c r="O73" t="inlineStr">
        <is>
          <t xml:space="preserve">595-SN74AHC1G125DRLR</t>
        </is>
      </c>
      <c r="P73" s="3">
        <v>0.22</v>
      </c>
      <c r="Q73" s="3">
        <f>P73*B73</f>
        <v>2.64</v>
      </c>
      <c r="R73">
        <v>6492</v>
      </c>
      <c r="S73" t="inlineStr">
        <is>
          <t xml:space="preserve">Active</t>
        </is>
      </c>
      <c r="T73">
        <v>12</v>
      </c>
      <c r="U73">
        <v>36</v>
      </c>
      <c r="V73" s="3">
        <v>0.131</v>
      </c>
      <c r="W73" s="3">
        <f>V73*U73</f>
        <v>4.716</v>
      </c>
      <c r="X73">
        <v>0</v>
      </c>
      <c r="Y73" s="3">
        <f>W73*X73/100</f>
        <v>0</v>
      </c>
      <c r="Z73" s="3">
        <f>W73+Y73</f>
        <v>4.716</v>
      </c>
    </row>
    <row r="74">
      <c r="A74" t="inlineStr">
        <is>
          <t xml:space="preserve">R47</t>
        </is>
      </c>
      <c r="B74">
        <v>1</v>
      </c>
      <c r="C74" t="inlineStr">
        <is>
          <t xml:space="preserve">12.5k</t>
        </is>
      </c>
      <c r="D74" t="inlineStr">
        <is>
          <t xml:space="preserve">ERJ-PA2F1242X</t>
        </is>
      </c>
      <c r="E74" t="inlineStr">
        <is>
          <t xml:space="preserve">Panasonic</t>
        </is>
      </c>
      <c r="F74" t="inlineStr">
        <is>
          <t xml:space="preserve">Resistor_SMD:R_0402_1005Metric</t>
        </is>
      </c>
      <c r="G74" t="inlineStr">
        <is>
          <t xml:space="preserve">0402</t>
        </is>
      </c>
      <c r="H74" s="2" t="inlineStr">
        <is>
          <t xml:space="preserve">https://industrial.panasonic.com/cdbs/www-data/pdf/RDO0000/AOA0000C331.pdf</t>
        </is>
      </c>
      <c r="I74" s="2" t="inlineStr">
        <is>
          <t xml:space="preserve">https://www.mouser.com/en/ProductDetail/Panasonic/ERJ-PA2F1242X?qs=V%252BBODeGd91LZ4cJzK1GGng%3D%3D</t>
        </is>
      </c>
      <c r="J74" t="inlineStr">
        <is>
          <t xml:space="preserve">Resistor, small symbol</t>
        </is>
      </c>
      <c r="K74" t="inlineStr">
        <is>
          <t xml:space="preserve">yes</t>
        </is>
      </c>
      <c r="L74" t="inlineStr">
        <is>
          <t xml:space="preserve">Details</t>
        </is>
      </c>
      <c r="M74" t="inlineStr">
        <is>
          <t xml:space="preserve">Japan</t>
        </is>
      </c>
      <c r="N74" t="inlineStr">
        <is>
          <t xml:space="preserve">Mouser</t>
        </is>
      </c>
      <c r="O74" t="inlineStr">
        <is>
          <t xml:space="preserve">667-ERJ-PA2F1242X</t>
        </is>
      </c>
      <c r="P74" s="3">
        <v>0.28</v>
      </c>
      <c r="Q74" s="3">
        <f>P74*B74</f>
        <v>0.28</v>
      </c>
      <c r="R74">
        <v>28035</v>
      </c>
      <c r="S74" t="inlineStr">
        <is>
          <t xml:space="preserve">Active</t>
        </is>
      </c>
      <c r="T74">
        <v>1</v>
      </c>
      <c r="U74">
        <v>3</v>
      </c>
      <c r="V74" s="3">
        <v>0.28</v>
      </c>
      <c r="W74" s="3">
        <f>V74*U74</f>
        <v>0.84</v>
      </c>
      <c r="X74">
        <v>0</v>
      </c>
      <c r="Y74" s="3">
        <f>W74*X74/100</f>
        <v>0</v>
      </c>
      <c r="Z74" s="3">
        <f>W74+Y74</f>
        <v>0.84</v>
      </c>
    </row>
    <row r="75">
      <c r="A75" t="inlineStr">
        <is>
          <t xml:space="preserve">R28</t>
        </is>
      </c>
      <c r="B75">
        <v>1</v>
      </c>
      <c r="C75" t="inlineStr">
        <is>
          <t xml:space="preserve">18.6k</t>
        </is>
      </c>
      <c r="D75" t="inlineStr">
        <is>
          <t xml:space="preserve">ERJ-H3EF1872V</t>
        </is>
      </c>
      <c r="E75" t="inlineStr">
        <is>
          <t xml:space="preserve">Panasonic</t>
        </is>
      </c>
      <c r="F75" t="inlineStr">
        <is>
          <t xml:space="preserve">Resistor_SMD:R_0603_1608Metric</t>
        </is>
      </c>
      <c r="G75" t="inlineStr">
        <is>
          <t xml:space="preserve">0603</t>
        </is>
      </c>
      <c r="H75" s="2" t="inlineStr">
        <is>
          <t xml:space="preserve">https://industrial.panasonic.com/cdbs/www-data/pdf/RDO0000/RDO0000C334.pdf</t>
        </is>
      </c>
      <c r="I75" s="2" t="inlineStr">
        <is>
          <t xml:space="preserve">https://www.mouser.com/en/ProductDetail/Panasonic/ERJ-H3EF1872V?qs=eP2BKZSCXI5l01WTRmuzHg%3D%3D</t>
        </is>
      </c>
      <c r="J75" t="inlineStr">
        <is>
          <t xml:space="preserve">Resistor, small symbol</t>
        </is>
      </c>
      <c r="K75" t="inlineStr">
        <is>
          <t xml:space="preserve">yes</t>
        </is>
      </c>
      <c r="L75" t="inlineStr">
        <is>
          <t xml:space="preserve">Details</t>
        </is>
      </c>
      <c r="M75" t="inlineStr">
        <is>
          <t xml:space="preserve">Japan</t>
        </is>
      </c>
      <c r="N75" t="inlineStr">
        <is>
          <t xml:space="preserve">Mouser</t>
        </is>
      </c>
      <c r="O75" t="inlineStr">
        <is>
          <t xml:space="preserve">667-ERJ-H3EF1872V</t>
        </is>
      </c>
      <c r="P75" s="3">
        <v>0.28</v>
      </c>
      <c r="Q75" s="3">
        <f>P75*B75</f>
        <v>0.28</v>
      </c>
      <c r="R75">
        <v>9748</v>
      </c>
      <c r="S75" t="inlineStr">
        <is>
          <t xml:space="preserve">Active</t>
        </is>
      </c>
      <c r="T75">
        <v>1</v>
      </c>
      <c r="U75">
        <v>3</v>
      </c>
      <c r="V75" s="3">
        <v>0.28</v>
      </c>
      <c r="W75" s="3">
        <f>V75*U75</f>
        <v>0.84</v>
      </c>
      <c r="X75">
        <v>0</v>
      </c>
      <c r="Y75" s="3">
        <f>W75*X75/100</f>
        <v>0</v>
      </c>
      <c r="Z75" s="3">
        <f>W75+Y75</f>
        <v>0.84</v>
      </c>
    </row>
    <row r="76">
      <c r="A76" t="inlineStr">
        <is>
          <t xml:space="preserve">INV1,INV2,INV3,INV4,INV5,INV6,INV7</t>
        </is>
      </c>
      <c r="B76">
        <v>7</v>
      </c>
      <c r="C76" t="inlineStr">
        <is>
          <t xml:space="preserve">74LVC1GU04DRLR</t>
        </is>
      </c>
      <c r="D76" t="inlineStr">
        <is>
          <t xml:space="preserve">SN74LVC1GU04DRLR</t>
        </is>
      </c>
      <c r="E76" t="inlineStr">
        <is>
          <t xml:space="preserve">Texas Instruments</t>
        </is>
      </c>
      <c r="F76" t="inlineStr">
        <is>
          <t xml:space="preserve">Package_TO_SOT_SMD:SOT-553</t>
        </is>
      </c>
      <c r="G76" t="inlineStr">
        <is>
          <t xml:space="preserve">SOT-5X3-5</t>
        </is>
      </c>
      <c r="H76" s="2" t="inlineStr">
        <is>
          <t xml:space="preserve">http://www.ti.com/lit/ds/symlink/sn74lvc1gu04.pdf</t>
        </is>
      </c>
      <c r="I76" s="2" t="inlineStr">
        <is>
          <t xml:space="preserve">https://www.mouser.com/en/ProductDetail/Texas-Instruments/SN74LVC1GU04DRLR?qs=dT9u2OTAaVWQWKRtkB6JZw%3D%3D</t>
        </is>
      </c>
      <c r="J76" t="inlineStr">
        <is>
          <t xml:space="preserve">Single Inverter Gate, SOT-553</t>
        </is>
      </c>
      <c r="K76"/>
      <c r="L76" t="inlineStr">
        <is>
          <t xml:space="preserve">Details</t>
        </is>
      </c>
      <c r="M76" t="inlineStr">
        <is>
          <t xml:space="preserve">Thailand</t>
        </is>
      </c>
      <c r="N76" t="inlineStr">
        <is>
          <t xml:space="preserve">Mouser</t>
        </is>
      </c>
      <c r="O76" t="inlineStr">
        <is>
          <t xml:space="preserve">595-SN74LVC1GU04DRLR</t>
        </is>
      </c>
      <c r="P76" s="3">
        <v>0.36</v>
      </c>
      <c r="Q76" s="3">
        <f>P76*B76</f>
        <v>2.52</v>
      </c>
      <c r="R76">
        <v>6693</v>
      </c>
      <c r="S76" t="inlineStr">
        <is>
          <t xml:space="preserve">Active</t>
        </is>
      </c>
      <c r="T76">
        <v>7</v>
      </c>
      <c r="U76">
        <v>21</v>
      </c>
      <c r="V76" s="3">
        <v>0.246</v>
      </c>
      <c r="W76" s="3">
        <f>V76*U76</f>
        <v>5.166</v>
      </c>
      <c r="X76">
        <v>0</v>
      </c>
      <c r="Y76" s="3">
        <f>W76*X76/100</f>
        <v>0</v>
      </c>
      <c r="Z76" s="3">
        <f>W76+Y76</f>
        <v>5.166</v>
      </c>
    </row>
    <row r="77">
      <c r="A77" t="inlineStr">
        <is>
          <t xml:space="preserve">C2</t>
        </is>
      </c>
      <c r="B77">
        <v>1</v>
      </c>
      <c r="C77" t="inlineStr">
        <is>
          <t xml:space="preserve">4.7u</t>
        </is>
      </c>
      <c r="D77" t="inlineStr">
        <is>
          <t xml:space="preserve">CL10A475KO8NNNC</t>
        </is>
      </c>
      <c r="E77" t="inlineStr">
        <is>
          <t xml:space="preserve">Samsung</t>
        </is>
      </c>
      <c r="F77" t="inlineStr">
        <is>
          <t xml:space="preserve">Capacitor_SMD:C_0603_1608Metric</t>
        </is>
      </c>
      <c r="G77" t="inlineStr">
        <is>
          <t xml:space="preserve">0603</t>
        </is>
      </c>
      <c r="H77" s="2" t="inlineStr">
        <is>
          <t xml:space="preserve">https://weblib.samsungsem.com/mlcc/mlcc-ec-data-sheet.do?partNumber=CL10A475KO8NNN</t>
        </is>
      </c>
      <c r="I77" s="2" t="inlineStr">
        <is>
          <t xml:space="preserve">https://www.mouser.com/en/ProductDetail/Samsung-Electro-Mechanics/CL10A475KO8NNNC?qs=X6jEic%2FHinAbIjmLnFfqqQ%3D%3D</t>
        </is>
      </c>
      <c r="J77" t="inlineStr">
        <is>
          <t xml:space="preserve">capacitor, small US symbol</t>
        </is>
      </c>
      <c r="K77" t="inlineStr">
        <is>
          <t xml:space="preserve">yes</t>
        </is>
      </c>
      <c r="L77" t="inlineStr">
        <is>
          <t xml:space="preserve">Details</t>
        </is>
      </c>
      <c r="M77" t="inlineStr">
        <is>
          <t xml:space="preserve">Philippines</t>
        </is>
      </c>
      <c r="N77" t="inlineStr">
        <is>
          <t xml:space="preserve">Mouser</t>
        </is>
      </c>
      <c r="O77" t="inlineStr">
        <is>
          <t xml:space="preserve">187-CL10A475KO8NNNC</t>
        </is>
      </c>
      <c r="P77" s="3">
        <v>0.12</v>
      </c>
      <c r="Q77" s="3">
        <f>P77*B77</f>
        <v>0.12</v>
      </c>
      <c r="R77">
        <v>385121</v>
      </c>
      <c r="S77" t="inlineStr">
        <is>
          <t xml:space="preserve">Active</t>
        </is>
      </c>
      <c r="T77">
        <v>1</v>
      </c>
      <c r="U77">
        <v>3</v>
      </c>
      <c r="V77" s="3">
        <v>0.12</v>
      </c>
      <c r="W77" s="3">
        <f>V77*U77</f>
        <v>0.36</v>
      </c>
      <c r="X77">
        <v>8.33</v>
      </c>
      <c r="Y77" s="3">
        <f>W77*X77/100</f>
        <v>0.03</v>
      </c>
      <c r="Z77" s="3">
        <f>W77+Y77</f>
        <v>0.39</v>
      </c>
    </row>
    <row r="78">
      <c r="A78" t="inlineStr">
        <is>
          <t xml:space="preserve">Y1</t>
        </is>
      </c>
      <c r="B78">
        <v>1</v>
      </c>
      <c r="C78" t="inlineStr">
        <is>
          <t xml:space="preserve">Crystal_GND24</t>
        </is>
      </c>
      <c r="D78" t="inlineStr">
        <is>
          <t xml:space="preserve">ABM8-25.000MHZ-B2-T</t>
        </is>
      </c>
      <c r="E78" t="inlineStr">
        <is>
          <t xml:space="preserve">Abracon</t>
        </is>
      </c>
      <c r="F78" t="inlineStr">
        <is>
          <t xml:space="preserve">Crystal:Crystal_SMD_0603-4Pin_6.0x3.5mm</t>
        </is>
      </c>
      <c r="G78" t="inlineStr">
        <is>
          <t xml:space="preserve">3.2 mm x 2.5 mm</t>
        </is>
      </c>
      <c r="H78" s="2" t="inlineStr">
        <is>
          <t xml:space="preserve">https://www.mouser.com/datasheet/3/184/1/abm8.pdf</t>
        </is>
      </c>
      <c r="I78" s="2" t="inlineStr">
        <is>
          <t xml:space="preserve">https://www.mouser.com/en/ProductDetail/ABRACON/ABM8-25.000MHZ-B2-T?qs=D0XpjEo%2FJ5CyDikUKoGKpw%3D%3D</t>
        </is>
      </c>
      <c r="J78" t="inlineStr">
        <is>
          <t xml:space="preserve">Four pin crystal, GND on pins 2 and 4</t>
        </is>
      </c>
      <c r="K78"/>
      <c r="L78" t="inlineStr">
        <is>
          <t xml:space="preserve">Details</t>
        </is>
      </c>
      <c r="M78" t="inlineStr">
        <is>
          <t xml:space="preserve">China</t>
        </is>
      </c>
      <c r="N78" t="inlineStr">
        <is>
          <t xml:space="preserve">Mouser</t>
        </is>
      </c>
      <c r="O78" t="inlineStr">
        <is>
          <t xml:space="preserve">815-ABM8-25-B2-T</t>
        </is>
      </c>
      <c r="P78" s="3">
        <v>0.5</v>
      </c>
      <c r="Q78" s="3">
        <f>P78*B78</f>
        <v>0.5</v>
      </c>
      <c r="R78">
        <v>14291</v>
      </c>
      <c r="S78" t="inlineStr">
        <is>
          <t xml:space="preserve">Active</t>
        </is>
      </c>
      <c r="T78">
        <v>1</v>
      </c>
      <c r="U78">
        <v>3</v>
      </c>
      <c r="V78" s="3">
        <v>0.5</v>
      </c>
      <c r="W78" s="3">
        <f>V78*U78</f>
        <v>1.5</v>
      </c>
      <c r="X78">
        <v>30</v>
      </c>
      <c r="Y78" s="3">
        <f>W78*X78/100</f>
        <v>0.45</v>
      </c>
      <c r="Z78" s="3">
        <f>W78+Y78</f>
        <v>1.95</v>
      </c>
    </row>
    <row r="79">
      <c r="A79" t="inlineStr">
        <is>
          <t xml:space="preserve">LS1,LS2</t>
        </is>
      </c>
      <c r="B79">
        <v>2</v>
      </c>
      <c r="C79" t="inlineStr">
        <is>
          <t xml:space="preserve">TXS0102DCUR</t>
        </is>
      </c>
      <c r="D79" t="inlineStr">
        <is>
          <t xml:space="preserve">TXS0102DCUR</t>
        </is>
      </c>
      <c r="E79" t="inlineStr">
        <is>
          <t xml:space="preserve">Texas Instruments</t>
        </is>
      </c>
      <c r="F79" t="inlineStr">
        <is>
          <t xml:space="preserve">Package_SO:VSSOP-8_2.3x2mm_P0.5mm</t>
        </is>
      </c>
      <c r="G79" t="inlineStr">
        <is>
          <t xml:space="preserve">VSSOP-8</t>
        </is>
      </c>
      <c r="H79" s="2" t="inlineStr">
        <is>
          <t xml:space="preserve">http://www.ti.com/lit/gpn/txs0102</t>
        </is>
      </c>
      <c r="I79" s="2" t="inlineStr">
        <is>
          <t xml:space="preserve">https://www.mouser.com/en/ProductDetail/Texas-Instruments/TXS0102DCUR?qs=dB0LedT%252BmmBcQ3I%2Fs9XEDA%3D%3D</t>
        </is>
      </c>
      <c r="J79" t="inlineStr">
        <is>
          <t xml:space="preserve">2-Bit Bidirectional Voltage-Level Shifter for Open-Drain and Push-Pull Application, VSSOP-8</t>
        </is>
      </c>
      <c r="K79"/>
      <c r="L79" t="inlineStr">
        <is>
          <t xml:space="preserve">Details</t>
        </is>
      </c>
      <c r="M79" t="inlineStr">
        <is>
          <t xml:space="preserve">Thailand</t>
        </is>
      </c>
      <c r="N79" t="inlineStr">
        <is>
          <t xml:space="preserve">Mouser</t>
        </is>
      </c>
      <c r="O79" t="inlineStr">
        <is>
          <t xml:space="preserve">595-TXS0102DCUR</t>
        </is>
      </c>
      <c r="P79" s="3">
        <v>0.63</v>
      </c>
      <c r="Q79" s="3">
        <f>P79*B79</f>
        <v>1.26</v>
      </c>
      <c r="R79">
        <v>111475</v>
      </c>
      <c r="S79" t="inlineStr">
        <is>
          <t xml:space="preserve">Active</t>
        </is>
      </c>
      <c r="T79">
        <v>2</v>
      </c>
      <c r="U79">
        <v>6</v>
      </c>
      <c r="V79" s="3">
        <v>0.63</v>
      </c>
      <c r="W79" s="3">
        <f>V79*U79</f>
        <v>3.78</v>
      </c>
      <c r="X79">
        <v>0</v>
      </c>
      <c r="Y79" s="3">
        <f>W79*X79/100</f>
        <v>0</v>
      </c>
      <c r="Z79" s="3">
        <f>W79+Y79</f>
        <v>3.78</v>
      </c>
    </row>
    <row r="80">
      <c r="A80" t="inlineStr">
        <is>
          <t xml:space="preserve">R24,R27,R29</t>
        </is>
      </c>
      <c r="B80">
        <v>3</v>
      </c>
      <c r="C80" t="inlineStr">
        <is>
          <t xml:space="preserve">5k</t>
        </is>
      </c>
      <c r="D80" t="inlineStr">
        <is>
          <t xml:space="preserve">CRCW06035K05FKEA</t>
        </is>
      </c>
      <c r="E80" t="inlineStr">
        <is>
          <t xml:space="preserve">Vishay</t>
        </is>
      </c>
      <c r="F80" t="inlineStr">
        <is>
          <t xml:space="preserve">Resistor_SMD:R_0603_1608Metric</t>
        </is>
      </c>
      <c r="G80" t="inlineStr">
        <is>
          <t xml:space="preserve">0603</t>
        </is>
      </c>
      <c r="H80" s="2" t="inlineStr">
        <is>
          <t xml:space="preserve">https://www.vishay.com/docs/20035/dcrcwe3.pdf</t>
        </is>
      </c>
      <c r="I80" s="2" t="inlineStr">
        <is>
          <t xml:space="preserve">https://www.mouser.com/en/ProductDetail/Vishay/CRCW06035K05FKEA?qs=p2bJuJLPpvR%2F884G9E6gpw%3D%3D</t>
        </is>
      </c>
      <c r="J80" t="inlineStr">
        <is>
          <t xml:space="preserve">Resistor, small symbol</t>
        </is>
      </c>
      <c r="K80" t="inlineStr">
        <is>
          <t xml:space="preserve">yes</t>
        </is>
      </c>
      <c r="L80" t="inlineStr">
        <is>
          <t xml:space="preserve">Details</t>
        </is>
      </c>
      <c r="M80" t="inlineStr">
        <is>
          <t xml:space="preserve">Israel</t>
        </is>
      </c>
      <c r="N80" t="inlineStr">
        <is>
          <t xml:space="preserve">Mouser</t>
        </is>
      </c>
      <c r="O80" t="inlineStr">
        <is>
          <t xml:space="preserve">71-CRCW0603-5.05K-E3</t>
        </is>
      </c>
      <c r="P80" s="3">
        <v>0.1</v>
      </c>
      <c r="Q80" s="3">
        <f>P80*B80</f>
        <v>0.3</v>
      </c>
      <c r="R80">
        <v>7092</v>
      </c>
      <c r="S80" t="inlineStr">
        <is>
          <t xml:space="preserve">Active</t>
        </is>
      </c>
      <c r="T80">
        <v>3</v>
      </c>
      <c r="U80">
        <v>10</v>
      </c>
      <c r="V80" s="3">
        <v>0.029</v>
      </c>
      <c r="W80" s="3">
        <f>V80*U80</f>
        <v>0.29</v>
      </c>
      <c r="X80">
        <v>0</v>
      </c>
      <c r="Y80" s="3">
        <f>W80*X80/100</f>
        <v>0</v>
      </c>
      <c r="Z80" s="3">
        <f>W80+Y80</f>
        <v>0.29</v>
      </c>
    </row>
    <row r="81">
      <c r="A81" t="inlineStr">
        <is>
          <t xml:space="preserve">R26</t>
        </is>
      </c>
      <c r="B81">
        <v>1</v>
      </c>
      <c r="C81" t="inlineStr">
        <is>
          <t xml:space="preserve">21k</t>
        </is>
      </c>
      <c r="D81" t="inlineStr">
        <is>
          <t xml:space="preserve">CR0603-FX-2102ELF</t>
        </is>
      </c>
      <c r="E81" t="inlineStr">
        <is>
          <t xml:space="preserve">Bourns</t>
        </is>
      </c>
      <c r="F81" t="inlineStr">
        <is>
          <t xml:space="preserve">Resistor_SMD:R_0603_1608Metric</t>
        </is>
      </c>
      <c r="G81" t="inlineStr">
        <is>
          <t xml:space="preserve">0603</t>
        </is>
      </c>
      <c r="H81" s="2" t="inlineStr">
        <is>
          <t xml:space="preserve">https://www.mouser.com/datasheet/3/40/1/cr.pdf</t>
        </is>
      </c>
      <c r="I81" s="2" t="inlineStr">
        <is>
          <t xml:space="preserve">https://www.mouser.com/en/ProductDetail/Bourns/CR0603-FX-2102ELF?qs=zx2075yZkZKAHyCDerhqYg%3D%3D</t>
        </is>
      </c>
      <c r="J81" t="inlineStr">
        <is>
          <t xml:space="preserve">Resistor, small symbol</t>
        </is>
      </c>
      <c r="K81" t="inlineStr">
        <is>
          <t xml:space="preserve">yes</t>
        </is>
      </c>
      <c r="L81" t="inlineStr">
        <is>
          <t xml:space="preserve">Details</t>
        </is>
      </c>
      <c r="M81" t="inlineStr">
        <is>
          <t xml:space="preserve">Taiwan</t>
        </is>
      </c>
      <c r="N81" t="inlineStr">
        <is>
          <t xml:space="preserve">Mouser</t>
        </is>
      </c>
      <c r="O81" t="inlineStr">
        <is>
          <t xml:space="preserve">652-CR0603FX-2102ELF</t>
        </is>
      </c>
      <c r="P81" s="3">
        <v>0.1</v>
      </c>
      <c r="Q81" s="3">
        <f>P81*B81</f>
        <v>0.1</v>
      </c>
      <c r="R81">
        <v>137114</v>
      </c>
      <c r="S81" t="inlineStr">
        <is>
          <t xml:space="preserve">Active</t>
        </is>
      </c>
      <c r="T81">
        <v>1</v>
      </c>
      <c r="U81">
        <v>10</v>
      </c>
      <c r="V81" s="3">
        <v>0.012</v>
      </c>
      <c r="W81" s="3">
        <f>V81*U81</f>
        <v>0.12</v>
      </c>
      <c r="X81">
        <v>0</v>
      </c>
      <c r="Y81" s="3">
        <f>W81*X81/100</f>
        <v>0</v>
      </c>
      <c r="Z81" s="3">
        <f>W81+Y81</f>
        <v>0.12</v>
      </c>
    </row>
    <row r="82">
      <c r="A82" t="inlineStr">
        <is>
          <t xml:space="preserve">1V8_EN1,3.3V_EN1</t>
        </is>
      </c>
      <c r="B82">
        <v>2</v>
      </c>
      <c r="C82" t="inlineStr">
        <is>
          <t xml:space="preserve">JS102011SAQN</t>
        </is>
      </c>
      <c r="D82" t="inlineStr">
        <is>
          <t xml:space="preserve">JS102011SAQN</t>
        </is>
      </c>
      <c r="E82" t="inlineStr">
        <is>
          <t xml:space="preserve">C&amp;K</t>
        </is>
      </c>
      <c r="F82" t="inlineStr">
        <is>
          <t xml:space="preserve">Button_Switch_SMD:SW_SPDT_CK_JS102011SAQN</t>
        </is>
      </c>
      <c r="G82"/>
      <c r="H82" s="2" t="inlineStr">
        <is>
          <t xml:space="preserve">https://ckswitches.com/media/1422/js.pdf</t>
        </is>
      </c>
      <c r="I82" s="2" t="inlineStr">
        <is>
          <t xml:space="preserve">https://www.mouser.com/en/ProductDetail/CK/JS102011SAQN?qs=LgMIjt8LuD%252B69bNM9a%2FozQ%3D%3D</t>
        </is>
      </c>
      <c r="J82" t="inlineStr">
        <is>
          <t xml:space="preserve">Slide Switches</t>
        </is>
      </c>
      <c r="K82"/>
      <c r="L82" t="inlineStr">
        <is>
          <t xml:space="preserve">Details</t>
        </is>
      </c>
      <c r="M82" t="inlineStr">
        <is>
          <t xml:space="preserve">China</t>
        </is>
      </c>
      <c r="N82" t="inlineStr">
        <is>
          <t xml:space="preserve">Mouser</t>
        </is>
      </c>
      <c r="O82" t="inlineStr">
        <is>
          <t xml:space="preserve">611-JS102011SAQN</t>
        </is>
      </c>
      <c r="P82" s="3">
        <v>0.84</v>
      </c>
      <c r="Q82" s="3">
        <f>P82*B82</f>
        <v>1.68</v>
      </c>
      <c r="R82">
        <v>6938</v>
      </c>
      <c r="S82" t="inlineStr">
        <is>
          <t xml:space="preserve">Active</t>
        </is>
      </c>
      <c r="T82">
        <v>2</v>
      </c>
      <c r="U82">
        <v>6</v>
      </c>
      <c r="V82" s="3">
        <v>0.84</v>
      </c>
      <c r="W82" s="3">
        <f>V82*U82</f>
        <v>5.04</v>
      </c>
      <c r="X82">
        <v>7.98</v>
      </c>
      <c r="Y82" s="3">
        <f>W82*X82/100</f>
        <v>0.4022</v>
      </c>
      <c r="Z82" s="3">
        <f>W82+Y82</f>
        <v>5.4422</v>
      </c>
    </row>
    <row r="83">
      <c r="A83" t="inlineStr">
        <is>
          <t xml:space="preserve">R4</t>
        </is>
      </c>
      <c r="B83">
        <v>1</v>
      </c>
      <c r="C83" t="inlineStr">
        <is>
          <t xml:space="preserve">46.4k</t>
        </is>
      </c>
      <c r="D83" t="inlineStr">
        <is>
          <t xml:space="preserve">CR0603-FX-4642ELF</t>
        </is>
      </c>
      <c r="E83" t="inlineStr">
        <is>
          <t xml:space="preserve">Bourns</t>
        </is>
      </c>
      <c r="F83" t="inlineStr">
        <is>
          <t xml:space="preserve">Resistor_SMD:R_0603_1608Metric</t>
        </is>
      </c>
      <c r="G83" t="inlineStr">
        <is>
          <t xml:space="preserve">0603</t>
        </is>
      </c>
      <c r="H83" s="2" t="inlineStr">
        <is>
          <t xml:space="preserve">https://www.mouser.com/datasheet/3/40/1/cr.pdf</t>
        </is>
      </c>
      <c r="I83" s="2" t="inlineStr">
        <is>
          <t xml:space="preserve">https://www.mouser.com/en/ProductDetail/Bourns/CR0603-FX-4642ELF?qs=CCIlxZRRv7h4Dp7z3u08Ag%3D%3D</t>
        </is>
      </c>
      <c r="J83" t="inlineStr">
        <is>
          <t xml:space="preserve">Resistor, small symbol</t>
        </is>
      </c>
      <c r="K83" t="inlineStr">
        <is>
          <t xml:space="preserve">yes</t>
        </is>
      </c>
      <c r="L83" t="inlineStr">
        <is>
          <t xml:space="preserve">Details</t>
        </is>
      </c>
      <c r="M83" t="inlineStr">
        <is>
          <t xml:space="preserve">Taiwan</t>
        </is>
      </c>
      <c r="N83" t="inlineStr">
        <is>
          <t xml:space="preserve">Mouser</t>
        </is>
      </c>
      <c r="O83" t="inlineStr">
        <is>
          <t xml:space="preserve">652-CR0603FX-4642ELF</t>
        </is>
      </c>
      <c r="P83" s="3">
        <v>0.1</v>
      </c>
      <c r="Q83" s="3">
        <f>P83*B83</f>
        <v>0.1</v>
      </c>
      <c r="R83">
        <v>85609</v>
      </c>
      <c r="S83" t="inlineStr">
        <is>
          <t xml:space="preserve">Active</t>
        </is>
      </c>
      <c r="T83">
        <v>1</v>
      </c>
      <c r="U83">
        <v>10</v>
      </c>
      <c r="V83" s="3">
        <v>0.016</v>
      </c>
      <c r="W83" s="3">
        <f>V83*U83</f>
        <v>0.16</v>
      </c>
      <c r="X83">
        <v>0</v>
      </c>
      <c r="Y83" s="3">
        <f>W83*X83/100</f>
        <v>0</v>
      </c>
      <c r="Z83" s="3">
        <f>W83+Y83</f>
        <v>0.16</v>
      </c>
    </row>
    <row r="84">
      <c r="A84" t="inlineStr">
        <is>
          <t xml:space="preserve">R16</t>
        </is>
      </c>
      <c r="B84">
        <v>1</v>
      </c>
      <c r="C84" t="inlineStr">
        <is>
          <t xml:space="preserve">732k</t>
        </is>
      </c>
      <c r="D84" t="inlineStr">
        <is>
          <t xml:space="preserve">KTR03EZPF3403</t>
        </is>
      </c>
      <c r="E84" t="inlineStr">
        <is>
          <t xml:space="preserve">ROHM Semiconductor</t>
        </is>
      </c>
      <c r="F84" t="inlineStr">
        <is>
          <t xml:space="preserve">Resistor_SMD:R_0603_1608Metric</t>
        </is>
      </c>
      <c r="G84" t="inlineStr">
        <is>
          <t xml:space="preserve">0603</t>
        </is>
      </c>
      <c r="H84" s="2" t="inlineStr">
        <is>
          <t xml:space="preserve">https://www.rohm.com/datasheet?p=KTR03EZPF</t>
        </is>
      </c>
      <c r="I84" s="2" t="inlineStr">
        <is>
          <t xml:space="preserve">https://www.mouser.com/en/ProductDetail/ROHM-Semiconductor/KTR03EZPF3403?qs=17ckDYBRdekVwQV2ubwDJA%3D%3D</t>
        </is>
      </c>
      <c r="J84" t="inlineStr">
        <is>
          <t xml:space="preserve">Resistor, small symbol</t>
        </is>
      </c>
      <c r="K84" t="inlineStr">
        <is>
          <t xml:space="preserve">yes</t>
        </is>
      </c>
      <c r="L84" t="inlineStr">
        <is>
          <t xml:space="preserve">Details</t>
        </is>
      </c>
      <c r="M84" t="inlineStr">
        <is>
          <t xml:space="preserve">Philippines</t>
        </is>
      </c>
      <c r="N84" t="inlineStr">
        <is>
          <t xml:space="preserve">Mouser</t>
        </is>
      </c>
      <c r="O84" t="inlineStr">
        <is>
          <t xml:space="preserve">755-KTR03EZPF3403</t>
        </is>
      </c>
      <c r="P84" s="3">
        <v>0.19</v>
      </c>
      <c r="Q84" s="3">
        <f>P84*B84</f>
        <v>0.19</v>
      </c>
      <c r="R84">
        <v>13778</v>
      </c>
      <c r="S84" t="inlineStr">
        <is>
          <t xml:space="preserve">Active</t>
        </is>
      </c>
      <c r="T84">
        <v>1</v>
      </c>
      <c r="U84">
        <v>3</v>
      </c>
      <c r="V84" s="3">
        <v>0.19</v>
      </c>
      <c r="W84" s="3">
        <f>V84*U84</f>
        <v>0.57</v>
      </c>
      <c r="X84">
        <v>0</v>
      </c>
      <c r="Y84" s="3">
        <f>W84*X84/100</f>
        <v>0</v>
      </c>
      <c r="Z84" s="3">
        <f>W84+Y84</f>
        <v>0.57</v>
      </c>
    </row>
    <row r="85">
      <c r="A85" t="inlineStr">
        <is>
          <t xml:space="preserve">RESET1,TRGT_PWR_ON1</t>
        </is>
      </c>
      <c r="B85">
        <v>2</v>
      </c>
      <c r="C85" t="inlineStr">
        <is>
          <t xml:space="preserve">PTS645</t>
        </is>
      </c>
      <c r="D85" t="inlineStr">
        <is>
          <t xml:space="preserve">PTS645SK43SMTR92-LFS</t>
        </is>
      </c>
      <c r="E85" t="inlineStr">
        <is>
          <t xml:space="preserve">C&amp;K Switches</t>
        </is>
      </c>
      <c r="F85" t="inlineStr">
        <is>
          <t xml:space="preserve">MyFootprints:SWITCH_43SMTR92LFS</t>
        </is>
      </c>
      <c r="G85"/>
      <c r="H85" t="inlineStr">
        <is>
          <t xml:space="preserve">PTS645SM43SMTR92LFS</t>
        </is>
      </c>
      <c r="I85" s="2" t="inlineStr">
        <is>
          <t xml:space="preserve">https://www.mouser.com/en/ProductDetail/CK/PTS645SK43SMTR92-LFS?qs=Imq1NPwxi76wjUe7hzmA%252BA%3D%3D&amp;mgh=1</t>
        </is>
      </c>
      <c r="J85" t="inlineStr">
        <is>
          <t xml:space="preserve">PTS645</t>
        </is>
      </c>
      <c r="K85"/>
      <c r="L85" t="inlineStr">
        <is>
          <t xml:space="preserve">Details</t>
        </is>
      </c>
      <c r="M85" t="inlineStr">
        <is>
          <t xml:space="preserve">China</t>
        </is>
      </c>
      <c r="N85" t="inlineStr">
        <is>
          <t xml:space="preserve">Mouser</t>
        </is>
      </c>
      <c r="O85" t="inlineStr">
        <is>
          <t xml:space="preserve">611-PTS645SK43SMTR92</t>
        </is>
      </c>
      <c r="P85" s="3">
        <v>0.36</v>
      </c>
      <c r="Q85" s="3">
        <f>P85*B85</f>
        <v>0.72</v>
      </c>
      <c r="R85">
        <v>87087</v>
      </c>
      <c r="S85" t="inlineStr">
        <is>
          <t xml:space="preserve">Active</t>
        </is>
      </c>
      <c r="T85">
        <v>2</v>
      </c>
      <c r="U85">
        <v>6</v>
      </c>
      <c r="V85" s="3">
        <v>0.36</v>
      </c>
      <c r="W85" s="3">
        <f>V85*U85</f>
        <v>2.16</v>
      </c>
      <c r="X85">
        <v>8.06</v>
      </c>
      <c r="Y85" s="3">
        <f>W85*X85/100</f>
        <v>0.1741</v>
      </c>
      <c r="Z85" s="3">
        <f>W85+Y85</f>
        <v>2.3341</v>
      </c>
    </row>
    <row r="86">
      <c r="A86" t="inlineStr">
        <is>
          <t xml:space="preserve">R43</t>
        </is>
      </c>
      <c r="B86">
        <v>1</v>
      </c>
      <c r="C86" t="inlineStr">
        <is>
          <t xml:space="preserve">3.3</t>
        </is>
      </c>
      <c r="D86" t="inlineStr">
        <is>
          <t xml:space="preserve">CRCW06033R32FKTA</t>
        </is>
      </c>
      <c r="E86" t="inlineStr">
        <is>
          <t xml:space="preserve">Vishay</t>
        </is>
      </c>
      <c r="F86" t="inlineStr">
        <is>
          <t xml:space="preserve">Resistor_SMD:R_0603_1608Metric</t>
        </is>
      </c>
      <c r="G86" t="inlineStr">
        <is>
          <t xml:space="preserve">0603</t>
        </is>
      </c>
      <c r="H86" s="2" t="inlineStr">
        <is>
          <t xml:space="preserve">https://www.vishay.com/docs/20008/dcrcw.pdf</t>
        </is>
      </c>
      <c r="I86" s="2" t="inlineStr">
        <is>
          <t xml:space="preserve">https://www.mouser.com/en/ProductDetail/Vishay/CRCW06033R32FKTA?qs=oycmPmJ%2FEmljaarH4ntLEQ%3D%3D</t>
        </is>
      </c>
      <c r="J86" t="inlineStr">
        <is>
          <t xml:space="preserve">Resistor</t>
        </is>
      </c>
      <c r="K86" t="inlineStr">
        <is>
          <t xml:space="preserve">yes</t>
        </is>
      </c>
      <c r="L86" t="inlineStr">
        <is>
          <t xml:space="preserve">No - RoHS Version Available</t>
        </is>
      </c>
      <c r="M86" t="inlineStr">
        <is>
          <t xml:space="preserve">United States</t>
        </is>
      </c>
      <c r="N86" t="inlineStr">
        <is>
          <t xml:space="preserve">Mouser</t>
        </is>
      </c>
      <c r="O86" t="inlineStr">
        <is>
          <t xml:space="preserve">71-CRCW0603-3.32</t>
        </is>
      </c>
      <c r="P86" s="3">
        <v>0.29</v>
      </c>
      <c r="Q86" s="3">
        <f>P86*B86</f>
        <v>0.29</v>
      </c>
      <c r="R86">
        <v>2600</v>
      </c>
      <c r="S86" t="inlineStr">
        <is>
          <t xml:space="preserve">Active</t>
        </is>
      </c>
      <c r="T86">
        <v>1</v>
      </c>
      <c r="U86">
        <v>3</v>
      </c>
      <c r="V86" s="3">
        <v>0.29</v>
      </c>
      <c r="W86" s="3">
        <f>V86*U86</f>
        <v>0.87</v>
      </c>
      <c r="X86">
        <v>0</v>
      </c>
      <c r="Y86" s="3">
        <f>W86*X86/100</f>
        <v>0</v>
      </c>
      <c r="Z86" s="3">
        <f>W86+Y86</f>
        <v>0.87</v>
      </c>
    </row>
    <row r="87">
      <c r="A87" t="inlineStr">
        <is>
          <t xml:space="preserve">R6,R21</t>
        </is>
      </c>
      <c r="B87">
        <v>2</v>
      </c>
      <c r="C87" t="inlineStr">
        <is>
          <t xml:space="preserve">1M</t>
        </is>
      </c>
      <c r="D87" t="inlineStr">
        <is>
          <t xml:space="preserve">CRG0603F1M0-10</t>
        </is>
      </c>
      <c r="E87" t="inlineStr">
        <is>
          <t xml:space="preserve">TE Connectivity Holsworthy</t>
        </is>
      </c>
      <c r="F87" t="inlineStr">
        <is>
          <t xml:space="preserve">Resistor_SMD:R_0603_1608Metric</t>
        </is>
      </c>
      <c r="G87" t="inlineStr">
        <is>
          <t xml:space="preserve">0603</t>
        </is>
      </c>
      <c r="H87" s="2" t="inlineStr">
        <is>
          <t xml:space="preserve">https://www.te.com/commerce/DocumentDelivery/DDEController?Action=srchrtrv&amp;DocNm=1622877&amp;DocType=Customer+Drawing&amp;DocLang=English&amp;PartCntxt=1622877-2</t>
        </is>
      </c>
      <c r="I87" s="2" t="inlineStr">
        <is>
          <t xml:space="preserve">https://www.mouser.com/en/ProductDetail/TE-Connectivity-Holsworthy/CRG0603F1M0-10?qs=s1WWODT2SXVmMRw54xD%2FMg%3D%3D</t>
        </is>
      </c>
      <c r="J87" t="inlineStr">
        <is>
          <t xml:space="preserve">Resistor, small symbol</t>
        </is>
      </c>
      <c r="K87" t="inlineStr">
        <is>
          <t xml:space="preserve">yes</t>
        </is>
      </c>
      <c r="L87" t="inlineStr">
        <is>
          <t xml:space="preserve">Details</t>
        </is>
      </c>
      <c r="M87" t="inlineStr">
        <is>
          <t xml:space="preserve">Thailand</t>
        </is>
      </c>
      <c r="N87" t="inlineStr">
        <is>
          <t xml:space="preserve">Mouser</t>
        </is>
      </c>
      <c r="O87" t="inlineStr">
        <is>
          <t xml:space="preserve">279-CRG0603F1M0/10</t>
        </is>
      </c>
      <c r="P87" s="3">
        <v>0.24</v>
      </c>
      <c r="Q87" s="3">
        <f>P87*B87</f>
        <v>0.48</v>
      </c>
      <c r="R87">
        <v>18188</v>
      </c>
      <c r="S87" t="inlineStr">
        <is>
          <t xml:space="preserve">Active</t>
        </is>
      </c>
      <c r="T87">
        <v>2</v>
      </c>
      <c r="U87">
        <v>10</v>
      </c>
      <c r="V87" s="3">
        <v>0.06</v>
      </c>
      <c r="W87" s="3">
        <f>V87*U87</f>
        <v>0.6</v>
      </c>
      <c r="X87">
        <v>0</v>
      </c>
      <c r="Y87" s="3">
        <f>W87*X87/100</f>
        <v>0</v>
      </c>
      <c r="Z87" s="3">
        <f>W87+Y87</f>
        <v>0.6</v>
      </c>
    </row>
    <row r="88">
      <c r="A88" t="inlineStr">
        <is>
          <t xml:space="preserve">FB1</t>
        </is>
      </c>
      <c r="B88">
        <v>1</v>
      </c>
      <c r="C88" t="inlineStr">
        <is>
          <t xml:space="preserve">220</t>
        </is>
      </c>
      <c r="D88" t="inlineStr">
        <is>
          <t xml:space="preserve">742792022</t>
        </is>
      </c>
      <c r="E88" t="inlineStr">
        <is>
          <t xml:space="preserve">Wurth Elektronik</t>
        </is>
      </c>
      <c r="F88" t="inlineStr">
        <is>
          <t xml:space="preserve">Inductor_SMD:L_0603_1608Metric</t>
        </is>
      </c>
      <c r="G88" t="inlineStr">
        <is>
          <t xml:space="preserve">0805</t>
        </is>
      </c>
      <c r="H88" s="2" t="inlineStr">
        <is>
          <t xml:space="preserve">https://www.we-online.com/components/products/datasheet/742792022.pdf</t>
        </is>
      </c>
      <c r="I88" s="2" t="inlineStr">
        <is>
          <t xml:space="preserve">https://www.mouser.com/en/ProductDetail/Wurth-Elektronik/742792022?qs=5twSNpOB8IBksnQcn3fDWA%3D%3D</t>
        </is>
      </c>
      <c r="J88" t="inlineStr">
        <is>
          <t xml:space="preserve">Ferrite bead, small symbol</t>
        </is>
      </c>
      <c r="K88" t="inlineStr">
        <is>
          <t xml:space="preserve">yes</t>
        </is>
      </c>
      <c r="L88" t="inlineStr">
        <is>
          <t xml:space="preserve">Details</t>
        </is>
      </c>
      <c r="M88" t="inlineStr">
        <is>
          <t xml:space="preserve">Taiwan</t>
        </is>
      </c>
      <c r="N88" t="inlineStr">
        <is>
          <t xml:space="preserve">Mouser</t>
        </is>
      </c>
      <c r="O88" t="inlineStr">
        <is>
          <t xml:space="preserve">710-742792022</t>
        </is>
      </c>
      <c r="P88" s="3">
        <v>0.16</v>
      </c>
      <c r="Q88" s="3">
        <f>P88*B88</f>
        <v>0.16</v>
      </c>
      <c r="R88">
        <v>145687</v>
      </c>
      <c r="S88" t="inlineStr">
        <is>
          <t xml:space="preserve">Active</t>
        </is>
      </c>
      <c r="T88">
        <v>1</v>
      </c>
      <c r="U88">
        <v>3</v>
      </c>
      <c r="V88" s="3">
        <v>0.16</v>
      </c>
      <c r="W88" s="3">
        <f>V88*U88</f>
        <v>0.48</v>
      </c>
      <c r="X88">
        <v>0</v>
      </c>
      <c r="Y88" s="3">
        <f>W88*X88/100</f>
        <v>0</v>
      </c>
      <c r="Z88" s="3">
        <f>W88+Y88</f>
        <v>0.48</v>
      </c>
    </row>
    <row r="89">
      <c r="A89" t="inlineStr">
        <is>
          <t xml:space="preserve">R5</t>
        </is>
      </c>
      <c r="B89">
        <v>1</v>
      </c>
      <c r="C89" t="inlineStr">
        <is>
          <t xml:space="preserve">1.13k</t>
        </is>
      </c>
      <c r="D89" t="inlineStr">
        <is>
          <t xml:space="preserve">560112116151</t>
        </is>
      </c>
      <c r="E89" t="inlineStr">
        <is>
          <t xml:space="preserve">Wurth Elektronik</t>
        </is>
      </c>
      <c r="F89" t="inlineStr">
        <is>
          <t xml:space="preserve">Resistor_SMD:R_0603_1608Metric</t>
        </is>
      </c>
      <c r="G89" t="inlineStr">
        <is>
          <t xml:space="preserve">0603</t>
        </is>
      </c>
      <c r="H89" s="2" t="inlineStr">
        <is>
          <t xml:space="preserve">https://www.we-online.com/components/products/datasheet/560112116151.pdf</t>
        </is>
      </c>
      <c r="I89" s="2" t="inlineStr">
        <is>
          <t xml:space="preserve">https://www.mouser.com/en/ProductDetail/Wurth-Elektronik/560112116151?qs=sGAEpiMZZMtG0KNrPCHnjRpfexHZHoPIOe63Hq9ISdAfX3qbuXrk3g%3D%3D</t>
        </is>
      </c>
      <c r="J89" t="inlineStr">
        <is>
          <t xml:space="preserve">Resistor, small symbol</t>
        </is>
      </c>
      <c r="K89" t="inlineStr">
        <is>
          <t xml:space="preserve">yes</t>
        </is>
      </c>
      <c r="L89" t="inlineStr">
        <is>
          <t xml:space="preserve">Details</t>
        </is>
      </c>
      <c r="M89" t="inlineStr">
        <is>
          <t xml:space="preserve">Taiwan</t>
        </is>
      </c>
      <c r="N89" t="inlineStr">
        <is>
          <t xml:space="preserve">Mouser</t>
        </is>
      </c>
      <c r="O89" t="inlineStr">
        <is>
          <t xml:space="preserve">710-560112116151</t>
        </is>
      </c>
      <c r="P89" s="3">
        <v>0.11</v>
      </c>
      <c r="Q89" s="3">
        <f>P89*B89</f>
        <v>0.11</v>
      </c>
      <c r="R89">
        <v>9795</v>
      </c>
      <c r="S89" t="inlineStr">
        <is>
          <t xml:space="preserve">Active</t>
        </is>
      </c>
      <c r="T89">
        <v>1</v>
      </c>
      <c r="U89">
        <v>3</v>
      </c>
      <c r="V89" s="3">
        <v>0.11</v>
      </c>
      <c r="W89" s="3">
        <f>V89*U89</f>
        <v>0.33</v>
      </c>
      <c r="X89">
        <v>0</v>
      </c>
      <c r="Y89" s="3">
        <f>W89*X89/100</f>
        <v>0</v>
      </c>
      <c r="Z89" s="3">
        <f>W89+Y89</f>
        <v>0.33</v>
      </c>
    </row>
    <row r="90">
      <c r="A90" s="1" t="inlineStr">
        <is>
          <t>TOTAL</t>
        </is>
      </c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 s="4">
        <f>SUM(W2:W89)</f>
        <v>886.825</v>
      </c>
      <c r="X90"/>
      <c r="Y90" s="4">
        <f>SUM(Y2:Y89)</f>
        <v>57.8504</v>
      </c>
      <c r="Z90" s="4">
        <f>SUM(Z2:Z89)</f>
        <v>944.6754</v>
      </c>
    </row>
  </sheetData>
  <autoFilter ref="A1:Z89"/>
  <hyperlinks>
    <hyperlink ref="H2" r:id="rId1"/>
    <hyperlink ref="I2" r:id="rId2"/>
    <hyperlink ref="H3" r:id="rId3"/>
    <hyperlink ref="I3" r:id="rId4"/>
    <hyperlink ref="H4" r:id="rId5"/>
    <hyperlink ref="I4" r:id="rId6"/>
    <hyperlink ref="H5" r:id="rId7"/>
    <hyperlink ref="I5" r:id="rId8"/>
    <hyperlink ref="H6" r:id="rId9"/>
    <hyperlink ref="I6" r:id="rId10"/>
    <hyperlink ref="H7" r:id="rId11"/>
    <hyperlink ref="I7" r:id="rId12"/>
    <hyperlink ref="H8" r:id="rId13"/>
    <hyperlink ref="I8" r:id="rId14"/>
    <hyperlink ref="H9" r:id="rId15"/>
    <hyperlink ref="I9" r:id="rId16"/>
    <hyperlink ref="H10" r:id="rId17"/>
    <hyperlink ref="I10" r:id="rId18"/>
    <hyperlink ref="H11" r:id="rId19"/>
    <hyperlink ref="I11" r:id="rId20"/>
    <hyperlink ref="H12" r:id="rId21"/>
    <hyperlink ref="I12" r:id="rId22"/>
    <hyperlink ref="H13" r:id="rId23"/>
    <hyperlink ref="I13" r:id="rId24"/>
    <hyperlink ref="H14" r:id="rId25"/>
    <hyperlink ref="I14" r:id="rId26"/>
    <hyperlink ref="H15" r:id="rId27"/>
    <hyperlink ref="I15" r:id="rId28"/>
    <hyperlink ref="H16" r:id="rId29"/>
    <hyperlink ref="I16" r:id="rId30"/>
    <hyperlink ref="H17" r:id="rId31"/>
    <hyperlink ref="I17" r:id="rId32"/>
    <hyperlink ref="H18" r:id="rId33"/>
    <hyperlink ref="I18" r:id="rId34"/>
    <hyperlink ref="H19" r:id="rId35"/>
    <hyperlink ref="I19" r:id="rId36"/>
    <hyperlink ref="H20" r:id="rId37"/>
    <hyperlink ref="I20" r:id="rId38"/>
    <hyperlink ref="H21" r:id="rId39"/>
    <hyperlink ref="I21" r:id="rId40"/>
    <hyperlink ref="H22" r:id="rId41"/>
    <hyperlink ref="I22" r:id="rId42"/>
    <hyperlink ref="H23" r:id="rId43"/>
    <hyperlink ref="I23" r:id="rId44"/>
    <hyperlink ref="H24" r:id="rId45"/>
    <hyperlink ref="I24" r:id="rId46"/>
    <hyperlink ref="H25" r:id="rId47"/>
    <hyperlink ref="I25" r:id="rId48"/>
    <hyperlink ref="H26" r:id="rId49"/>
    <hyperlink ref="I26" r:id="rId50"/>
    <hyperlink ref="H27" r:id="rId51"/>
    <hyperlink ref="I27" r:id="rId52"/>
    <hyperlink ref="H28" r:id="rId53"/>
    <hyperlink ref="I28" r:id="rId54"/>
    <hyperlink ref="H29" r:id="rId55"/>
    <hyperlink ref="I29" r:id="rId56"/>
    <hyperlink ref="H30" r:id="rId57"/>
    <hyperlink ref="I30" r:id="rId58"/>
    <hyperlink ref="H31" r:id="rId59"/>
    <hyperlink ref="I31" r:id="rId60"/>
    <hyperlink ref="H32" r:id="rId61"/>
    <hyperlink ref="I32" r:id="rId62"/>
    <hyperlink ref="H33" r:id="rId63"/>
    <hyperlink ref="I33" r:id="rId64"/>
    <hyperlink ref="I34" r:id="rId65"/>
    <hyperlink ref="H35" r:id="rId66"/>
    <hyperlink ref="I35" r:id="rId67"/>
    <hyperlink ref="H36" r:id="rId68"/>
    <hyperlink ref="I36" r:id="rId69"/>
    <hyperlink ref="H37" r:id="rId70"/>
    <hyperlink ref="I37" r:id="rId71"/>
    <hyperlink ref="H38" r:id="rId72"/>
    <hyperlink ref="I38" r:id="rId73"/>
    <hyperlink ref="H39" r:id="rId74"/>
    <hyperlink ref="I39" r:id="rId75"/>
    <hyperlink ref="H40" r:id="rId76"/>
    <hyperlink ref="I40" r:id="rId77"/>
    <hyperlink ref="H41" r:id="rId78"/>
    <hyperlink ref="I41" r:id="rId79"/>
    <hyperlink ref="H42" r:id="rId80"/>
    <hyperlink ref="I42" r:id="rId81"/>
    <hyperlink ref="H43" r:id="rId82"/>
    <hyperlink ref="I43" r:id="rId83"/>
    <hyperlink ref="H44" r:id="rId84"/>
    <hyperlink ref="I44" r:id="rId85"/>
    <hyperlink ref="H45" r:id="rId86"/>
    <hyperlink ref="I45" r:id="rId87"/>
    <hyperlink ref="H46" r:id="rId88"/>
    <hyperlink ref="I46" r:id="rId89"/>
    <hyperlink ref="H47" r:id="rId90"/>
    <hyperlink ref="I47" r:id="rId91"/>
    <hyperlink ref="H48" r:id="rId92"/>
    <hyperlink ref="I48" r:id="rId93"/>
    <hyperlink ref="H49" r:id="rId94"/>
    <hyperlink ref="I49" r:id="rId95"/>
    <hyperlink ref="H50" r:id="rId96"/>
    <hyperlink ref="I50" r:id="rId97"/>
    <hyperlink ref="H51" r:id="rId98"/>
    <hyperlink ref="I51" r:id="rId99"/>
    <hyperlink ref="H52" r:id="rId100"/>
    <hyperlink ref="I52" r:id="rId101"/>
    <hyperlink ref="H53" r:id="rId102"/>
    <hyperlink ref="I53" r:id="rId103"/>
    <hyperlink ref="H54" r:id="rId104"/>
    <hyperlink ref="I54" r:id="rId105"/>
    <hyperlink ref="H55" r:id="rId106"/>
    <hyperlink ref="I55" r:id="rId107"/>
    <hyperlink ref="H56" r:id="rId108"/>
    <hyperlink ref="I56" r:id="rId109"/>
    <hyperlink ref="H57" r:id="rId110"/>
    <hyperlink ref="I57" r:id="rId111"/>
    <hyperlink ref="H58" r:id="rId112"/>
    <hyperlink ref="I58" r:id="rId113"/>
    <hyperlink ref="H59" r:id="rId114"/>
    <hyperlink ref="I59" r:id="rId115"/>
    <hyperlink ref="H60" r:id="rId116"/>
    <hyperlink ref="I60" r:id="rId117"/>
    <hyperlink ref="H61" r:id="rId118"/>
    <hyperlink ref="I61" r:id="rId119"/>
    <hyperlink ref="H62" r:id="rId120"/>
    <hyperlink ref="I62" r:id="rId121"/>
    <hyperlink ref="H63" r:id="rId122"/>
    <hyperlink ref="I63" r:id="rId123"/>
    <hyperlink ref="H64" r:id="rId124"/>
    <hyperlink ref="I64" r:id="rId125"/>
    <hyperlink ref="H65" r:id="rId126"/>
    <hyperlink ref="I65" r:id="rId127"/>
    <hyperlink ref="H66" r:id="rId128"/>
    <hyperlink ref="I66" r:id="rId129"/>
    <hyperlink ref="H67" r:id="rId130"/>
    <hyperlink ref="I67" r:id="rId131"/>
    <hyperlink ref="H68" r:id="rId132"/>
    <hyperlink ref="I68" r:id="rId133"/>
    <hyperlink ref="H69" r:id="rId134"/>
    <hyperlink ref="I69" r:id="rId135"/>
    <hyperlink ref="H70" r:id="rId136"/>
    <hyperlink ref="I70" r:id="rId137"/>
    <hyperlink ref="H71" r:id="rId138"/>
    <hyperlink ref="I71" r:id="rId139"/>
    <hyperlink ref="H72" r:id="rId140"/>
    <hyperlink ref="I72" r:id="rId141"/>
    <hyperlink ref="H73" r:id="rId142"/>
    <hyperlink ref="I73" r:id="rId143"/>
    <hyperlink ref="H74" r:id="rId144"/>
    <hyperlink ref="I74" r:id="rId145"/>
    <hyperlink ref="H75" r:id="rId146"/>
    <hyperlink ref="I75" r:id="rId147"/>
    <hyperlink ref="H76" r:id="rId148"/>
    <hyperlink ref="I76" r:id="rId149"/>
    <hyperlink ref="H77" r:id="rId150"/>
    <hyperlink ref="I77" r:id="rId151"/>
    <hyperlink ref="H78" r:id="rId152"/>
    <hyperlink ref="I78" r:id="rId153"/>
    <hyperlink ref="H79" r:id="rId154"/>
    <hyperlink ref="I79" r:id="rId155"/>
    <hyperlink ref="H80" r:id="rId156"/>
    <hyperlink ref="I80" r:id="rId157"/>
    <hyperlink ref="H81" r:id="rId158"/>
    <hyperlink ref="I81" r:id="rId159"/>
    <hyperlink ref="H82" r:id="rId160"/>
    <hyperlink ref="I82" r:id="rId161"/>
    <hyperlink ref="H83" r:id="rId162"/>
    <hyperlink ref="I83" r:id="rId163"/>
    <hyperlink ref="H84" r:id="rId164"/>
    <hyperlink ref="I84" r:id="rId165"/>
    <hyperlink ref="I85" r:id="rId166"/>
    <hyperlink ref="H86" r:id="rId167"/>
    <hyperlink ref="I86" r:id="rId168"/>
    <hyperlink ref="H87" r:id="rId169"/>
    <hyperlink ref="I87" r:id="rId170"/>
    <hyperlink ref="H88" r:id="rId171"/>
    <hyperlink ref="I88" r:id="rId172"/>
    <hyperlink ref="H89" r:id="rId173"/>
    <hyperlink ref="I89" r:id="rId174"/>
  </hyperlinks>
</worksheet>
</file>